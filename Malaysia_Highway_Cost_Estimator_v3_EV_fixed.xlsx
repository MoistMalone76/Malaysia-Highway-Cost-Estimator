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oll Data" sheetId="2" state="visible" r:id="rId4"/>
    <sheet name="Vehicles" sheetId="3" state="visible" r:id="rId5"/>
    <sheet name="Fuel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<sst xmlns="http://schemas.openxmlformats.org/spreadsheetml/2006/main" count="332" uniqueCount="176">
  <si>
    <t xml:space="preserve">MALAYSIAN HIGHWAY TRIP COST ESTIMATOR</t>
  </si>
  <si>
    <t xml:space="preserve"> 📍 ROUTE DETAILS</t>
  </si>
  <si>
    <t xml:space="preserve"> Entry Toll Plaza:</t>
  </si>
  <si>
    <t xml:space="preserve">Jitra</t>
  </si>
  <si>
    <t xml:space="preserve"> Exit Toll Plaza:</t>
  </si>
  <si>
    <t xml:space="preserve">Skudai</t>
  </si>
  <si>
    <t xml:space="preserve"> Estimated Distance:</t>
  </si>
  <si>
    <t xml:space="preserve"> km</t>
  </si>
  <si>
    <t xml:space="preserve"> Estimated Toll Cost:</t>
  </si>
  <si>
    <t xml:space="preserve"> RM</t>
  </si>
  <si>
    <t xml:space="preserve"> 🚗 VEHICLE &amp; FUEL/ENERGY</t>
  </si>
  <si>
    <t xml:space="preserve"> Vehicle Type &amp; Model:</t>
  </si>
  <si>
    <t xml:space="preserve">Nissan Almera N17 1.5 (ICE Sedan)</t>
  </si>
  <si>
    <t xml:space="preserve"> Fuel/Charging Type:</t>
  </si>
  <si>
    <t xml:space="preserve">RON95 Petrol (Subsidised)</t>
  </si>
  <si>
    <t xml:space="preserve"> Avg. Consumption:</t>
  </si>
  <si>
    <t xml:space="preserve"> Rate per Unit (You Pay):</t>
  </si>
  <si>
    <t xml:space="preserve"> Market Value per Unit:</t>
  </si>
  <si>
    <t xml:space="preserve">For EVs: choose an EV charging option; if a petrol/diesel option is left selected, Home Charging is used automatically.</t>
  </si>
  <si>
    <t xml:space="preserve"> 💰 COST SUMMARY</t>
  </si>
  <si>
    <t xml:space="preserve"> Fuel / Home Energy Cost (You Pay):</t>
  </si>
  <si>
    <t xml:space="preserve"> Public EV Charging Cost (You Pay):</t>
  </si>
  <si>
    <t xml:space="preserve"> Government Fuel Subsidy (this trip):</t>
  </si>
  <si>
    <t xml:space="preserve"> Total Fuel Value at Pump (You Pay + Subsidy):</t>
  </si>
  <si>
    <t xml:space="preserve"> TOTAL TRIP COST (You Pay):</t>
  </si>
  <si>
    <t xml:space="preserve">*Disclaimer: Toll is estimated from the route distance and current modelled tariff rate. EV energy cost uses current Malaysia benchmark assumptions: ~RM0.50/kWh home charging, ~RM1.10/kWh public AC, and ~RM1.50/kWh public DC. RON95 subsidy uses the BUDI95 rate vs the unsubsidised market rate published by MOF; Government Fuel Subsidy assumes you are BUDI95/BUDI-Diesel eligible and within your monthly litre quota. Actual operator/TNB rates vary by tariff, site and time.</t>
  </si>
  <si>
    <t xml:space="preserve">Toll Plaza Name</t>
  </si>
  <si>
    <t xml:space="preserve">Region</t>
  </si>
  <si>
    <t xml:space="preserve">Distance from KL (km)</t>
  </si>
  <si>
    <t xml:space="preserve">Bukit Kayu Hitam</t>
  </si>
  <si>
    <t xml:space="preserve">North</t>
  </si>
  <si>
    <t xml:space="preserve">Alor Setar Utara</t>
  </si>
  <si>
    <t xml:space="preserve">Alor Setar Selatan</t>
  </si>
  <si>
    <t xml:space="preserve">Pendang</t>
  </si>
  <si>
    <t xml:space="preserve">Gurun</t>
  </si>
  <si>
    <t xml:space="preserve">Sungai Petani Utara</t>
  </si>
  <si>
    <t xml:space="preserve">Sungai Petani Selatan</t>
  </si>
  <si>
    <t xml:space="preserve">Bertam</t>
  </si>
  <si>
    <t xml:space="preserve">Sungai Dua</t>
  </si>
  <si>
    <t xml:space="preserve">Juru</t>
  </si>
  <si>
    <t xml:space="preserve">Batu Kawan</t>
  </si>
  <si>
    <t xml:space="preserve">Bandar Cassia</t>
  </si>
  <si>
    <t xml:space="preserve">Jawi</t>
  </si>
  <si>
    <t xml:space="preserve">Bandar Baharu</t>
  </si>
  <si>
    <t xml:space="preserve">Alor Pongsu</t>
  </si>
  <si>
    <t xml:space="preserve">Bukit Merah</t>
  </si>
  <si>
    <t xml:space="preserve">Taiping Utara (Kamunting)</t>
  </si>
  <si>
    <t xml:space="preserve">Changkat Jering</t>
  </si>
  <si>
    <t xml:space="preserve">Kuala Kangsar</t>
  </si>
  <si>
    <t xml:space="preserve">Ipoh Utara</t>
  </si>
  <si>
    <t xml:space="preserve">Ipoh Selatan</t>
  </si>
  <si>
    <t xml:space="preserve">Simpang Pulai</t>
  </si>
  <si>
    <t xml:space="preserve">Gopeng</t>
  </si>
  <si>
    <t xml:space="preserve">Tapah</t>
  </si>
  <si>
    <t xml:space="preserve">Bidor</t>
  </si>
  <si>
    <t xml:space="preserve">Sungkai</t>
  </si>
  <si>
    <t xml:space="preserve">Slim River</t>
  </si>
  <si>
    <t xml:space="preserve">Behrang</t>
  </si>
  <si>
    <t xml:space="preserve">Tanjung Malim</t>
  </si>
  <si>
    <t xml:space="preserve">Lembah Beringin</t>
  </si>
  <si>
    <t xml:space="preserve">Bukit Tagar</t>
  </si>
  <si>
    <t xml:space="preserve">Rawang</t>
  </si>
  <si>
    <t xml:space="preserve">Sungai Buloh</t>
  </si>
  <si>
    <t xml:space="preserve">Jalan Duta</t>
  </si>
  <si>
    <t xml:space="preserve">Central</t>
  </si>
  <si>
    <t xml:space="preserve">Damansara</t>
  </si>
  <si>
    <t xml:space="preserve">Subang</t>
  </si>
  <si>
    <t xml:space="preserve">Shah Alam</t>
  </si>
  <si>
    <t xml:space="preserve">Seafield</t>
  </si>
  <si>
    <t xml:space="preserve">USJ</t>
  </si>
  <si>
    <t xml:space="preserve">Putra Heights</t>
  </si>
  <si>
    <t xml:space="preserve">Bandar Saujana Putra</t>
  </si>
  <si>
    <t xml:space="preserve">KLIA</t>
  </si>
  <si>
    <t xml:space="preserve">Nilai Utara</t>
  </si>
  <si>
    <t xml:space="preserve">Sungai Besi</t>
  </si>
  <si>
    <t xml:space="preserve">South</t>
  </si>
  <si>
    <t xml:space="preserve">UPM</t>
  </si>
  <si>
    <t xml:space="preserve">Kajang</t>
  </si>
  <si>
    <t xml:space="preserve">Bangi</t>
  </si>
  <si>
    <t xml:space="preserve">Putra Mahkota</t>
  </si>
  <si>
    <t xml:space="preserve">Nilai</t>
  </si>
  <si>
    <t xml:space="preserve">Seremban</t>
  </si>
  <si>
    <t xml:space="preserve">Port Dickson</t>
  </si>
  <si>
    <t xml:space="preserve">Senawang</t>
  </si>
  <si>
    <t xml:space="preserve">Pedas Linggi</t>
  </si>
  <si>
    <t xml:space="preserve">Simpang Ampat</t>
  </si>
  <si>
    <t xml:space="preserve">Ayer Keroh</t>
  </si>
  <si>
    <t xml:space="preserve">Jasin</t>
  </si>
  <si>
    <t xml:space="preserve">Tangkak</t>
  </si>
  <si>
    <t xml:space="preserve">Pagoh</t>
  </si>
  <si>
    <t xml:space="preserve">Yong Peng Utara</t>
  </si>
  <si>
    <t xml:space="preserve">Yong Peng Selatan</t>
  </si>
  <si>
    <t xml:space="preserve">Ayer Hitam</t>
  </si>
  <si>
    <t xml:space="preserve">Machap</t>
  </si>
  <si>
    <t xml:space="preserve">Simpang Renggam</t>
  </si>
  <si>
    <t xml:space="preserve">Sedenak</t>
  </si>
  <si>
    <t xml:space="preserve">Kulai</t>
  </si>
  <si>
    <t xml:space="preserve">Kempas</t>
  </si>
  <si>
    <t xml:space="preserve">Johor Bahru (BSI)</t>
  </si>
  <si>
    <t xml:space="preserve">Gombak</t>
  </si>
  <si>
    <t xml:space="preserve">East</t>
  </si>
  <si>
    <t xml:space="preserve">Bentong</t>
  </si>
  <si>
    <t xml:space="preserve">Karak</t>
  </si>
  <si>
    <t xml:space="preserve">Lanchang</t>
  </si>
  <si>
    <t xml:space="preserve">Mentakab</t>
  </si>
  <si>
    <t xml:space="preserve">Temerloh</t>
  </si>
  <si>
    <t xml:space="preserve">Chenor</t>
  </si>
  <si>
    <t xml:space="preserve">Maran</t>
  </si>
  <si>
    <t xml:space="preserve">Sri Jaya</t>
  </si>
  <si>
    <t xml:space="preserve">Gambang</t>
  </si>
  <si>
    <t xml:space="preserve">Kuantan</t>
  </si>
  <si>
    <t xml:space="preserve">Jabor</t>
  </si>
  <si>
    <t xml:space="preserve">Cheneh</t>
  </si>
  <si>
    <t xml:space="preserve">Chukai</t>
  </si>
  <si>
    <t xml:space="preserve">Kijal</t>
  </si>
  <si>
    <t xml:space="preserve">Kerteh</t>
  </si>
  <si>
    <t xml:space="preserve">Paka</t>
  </si>
  <si>
    <t xml:space="preserve">Dungun</t>
  </si>
  <si>
    <t xml:space="preserve">Iron</t>
  </si>
  <si>
    <t xml:space="preserve">Ajil</t>
  </si>
  <si>
    <t xml:space="preserve">Telemong</t>
  </si>
  <si>
    <t xml:space="preserve">Kuala Terengganu</t>
  </si>
  <si>
    <t xml:space="preserve">Vehicle Type &amp; Model</t>
  </si>
  <si>
    <t xml:space="preserve">Engine/Motor</t>
  </si>
  <si>
    <t xml:space="preserve">Consumption Rate</t>
  </si>
  <si>
    <t xml:space="preserve">Unit</t>
  </si>
  <si>
    <t xml:space="preserve">ICE</t>
  </si>
  <si>
    <t xml:space="preserve">L/100km</t>
  </si>
  <si>
    <t xml:space="preserve">Nissan Almera 1.0 Turbo (ICE Sedan)</t>
  </si>
  <si>
    <t xml:space="preserve">Nissan Serena S-Hybrid (ICE MPV)</t>
  </si>
  <si>
    <t xml:space="preserve">Nissan Navara 2.5 (ICE Diesel Pickup)</t>
  </si>
  <si>
    <t xml:space="preserve">Nissan Leaf 40kWh (EV Hatchback)</t>
  </si>
  <si>
    <t xml:space="preserve">EV</t>
  </si>
  <si>
    <t xml:space="preserve">kWh/100km</t>
  </si>
  <si>
    <t xml:space="preserve">Nissan Kicks e-Power (Hybrid SUV)</t>
  </si>
  <si>
    <t xml:space="preserve">Hybrid</t>
  </si>
  <si>
    <t xml:space="preserve">Perodua Axia (ICE Hatchback)</t>
  </si>
  <si>
    <t xml:space="preserve">Perodua Myvi 1.5 (ICE Hatchback)</t>
  </si>
  <si>
    <t xml:space="preserve">Proton Iriz (ICE Hatchback)</t>
  </si>
  <si>
    <t xml:space="preserve">Honda City 1.5 (ICE Sedan)</t>
  </si>
  <si>
    <t xml:space="preserve">Proton Saga (ICE Sedan)</t>
  </si>
  <si>
    <t xml:space="preserve">Toyota Vios (ICE Sedan)</t>
  </si>
  <si>
    <t xml:space="preserve">Honda Civic 1.5T (ICE Sedan)</t>
  </si>
  <si>
    <t xml:space="preserve">Proton X50 (ICE Compact SUV)</t>
  </si>
  <si>
    <t xml:space="preserve">Honda HR-V (ICE Compact SUV)</t>
  </si>
  <si>
    <t xml:space="preserve">Proton X70 (ICE Mid SUV)</t>
  </si>
  <si>
    <t xml:space="preserve">Perodua Alza (ICE MPV)</t>
  </si>
  <si>
    <t xml:space="preserve">Toyota Hilux (ICE Diesel Pickup)</t>
  </si>
  <si>
    <t xml:space="preserve">BYD Dolphin (EV Hatchback)</t>
  </si>
  <si>
    <t xml:space="preserve">GWM Ora Good Cat (EV Hatchback)</t>
  </si>
  <si>
    <t xml:space="preserve">BYD Atto 3 (EV SUV)</t>
  </si>
  <si>
    <t xml:space="preserve">Chery Omoda E5 (EV SUV)</t>
  </si>
  <si>
    <t xml:space="preserve">Tesla Model 3 (EV Sedan)</t>
  </si>
  <si>
    <t xml:space="preserve">Tesla Model Y (EV SUV)</t>
  </si>
  <si>
    <t xml:space="preserve">Hyundai Ioniq 5 (EV SUV)</t>
  </si>
  <si>
    <t xml:space="preserve">BMW iX (EV Large SUV)</t>
  </si>
  <si>
    <t xml:space="preserve">Porsche Taycan (EV Sports Sedan)</t>
  </si>
  <si>
    <t xml:space="preserve">Fuel / Charging Type</t>
  </si>
  <si>
    <t xml:space="preserve">Price (RM)</t>
  </si>
  <si>
    <t xml:space="preserve">Source</t>
  </si>
  <si>
    <t xml:space="preserve">Last Updated</t>
  </si>
  <si>
    <t xml:space="preserve">Market Value (RM)</t>
  </si>
  <si>
    <t xml:space="preserve">RM/L</t>
  </si>
  <si>
    <t xml:space="preserve">https://data.gov.my/data-catalogue/fuelprice</t>
  </si>
  <si>
    <t xml:space="preserve">2026-09-10</t>
  </si>
  <si>
    <t xml:space="preserve">RON97 Petrol (Premium)</t>
  </si>
  <si>
    <t xml:space="preserve">Diesel (Peninsular Malaysia)</t>
  </si>
  <si>
    <t xml:space="preserve">EV Home Charging (TNB Domestic ~0.50/kWh)</t>
  </si>
  <si>
    <t xml:space="preserve">RM/kWh</t>
  </si>
  <si>
    <t xml:space="preserve">https://www.tnb.com.my/</t>
  </si>
  <si>
    <t xml:space="preserve">manual</t>
  </si>
  <si>
    <t xml:space="preserve">EV Public Charging (AC ~1.10/kWh)</t>
  </si>
  <si>
    <t xml:space="preserve">https://soyacincau.com/2026/07/28/tesla-destination-chargers-no-longer-free-rm0-88-per-kwh-rate-malaysia/</t>
  </si>
  <si>
    <t xml:space="preserve">EV Public Charging (DC ~1.50/kWh)</t>
  </si>
  <si>
    <t xml:space="preserve">https://soyacincau.com/2026/07/15/gentari-dc-charging-fee-price-cut-select-locations/</t>
  </si>
  <si>
    <t xml:space="preserve">Fuel prices (rows 2-4) are refreshed from data.gov.my — the Ministry of Finance's official weekly open dataset (CC BY 4.0), announced every Wednesday. Column F is the unsubsidised market value of the same litre/kWh: for RON95 (Subsidised) this is what the government tops up on your behalf; for RON97, Diesel and EV rows there's no subsidy, so it matches column B. Run update_fuel_prices.py to pull the current week's rates at any time, or schedule it for hands-off updates; see README_fuel_price_automation.md. EV and toll rates have no public live feed and must be checked and updated by hand.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</si>
</sst>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1"/>
      <color rgb="FF334155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E2E8F0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F8FAFC"/>
      </patternFill>
    </fill>
    <fill>
      <patternFill patternType="solid">
        <fgColor rgb="FF334155"/>
        <bgColor rgb="FF333399"/>
      </patternFill>
    </fill>
    <fill>
      <patternFill patternType="solid">
        <fgColor rgb="FF16A3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25"/>
    <col collapsed="false" customWidth="true" hidden="false" outlineLevel="0" max="4" min="4" style="1" width="42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2"/>
      <c r="B2" s="2"/>
      <c r="C2" s="3" t="s">
        <v>0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2"/>
      <c r="C3" s="3"/>
      <c r="D3" s="3"/>
      <c r="E3" s="3"/>
      <c r="F3" s="2"/>
      <c r="G3" s="2"/>
    </row>
    <row r="4" customFormat="false" ht="15" hidden="false" customHeight="true" outlineLevel="0" collapsed="false">
      <c r="A4" s="2"/>
      <c r="B4" s="2"/>
      <c r="C4" s="4" t="s">
        <v>1</v>
      </c>
      <c r="D4" s="4"/>
      <c r="E4" s="4"/>
      <c r="F4" s="2"/>
      <c r="G4" s="2"/>
    </row>
    <row r="5" customFormat="false" ht="15" hidden="false" customHeight="true" outlineLevel="0" collapsed="false">
      <c r="A5" s="2"/>
      <c r="B5" s="2"/>
      <c r="C5" s="5" t="s">
        <v>2</v>
      </c>
      <c r="D5" s="6" t="s">
        <v>3</v>
      </c>
      <c r="E5" s="7"/>
      <c r="F5" s="2"/>
      <c r="G5" s="2"/>
    </row>
    <row r="6" customFormat="false" ht="15" hidden="false" customHeight="true" outlineLevel="0" collapsed="false">
      <c r="A6" s="2"/>
      <c r="B6" s="2"/>
      <c r="C6" s="5" t="s">
        <v>4</v>
      </c>
      <c r="D6" s="6" t="s">
        <v>5</v>
      </c>
      <c r="E6" s="7"/>
      <c r="F6" s="2"/>
      <c r="G6" s="2"/>
    </row>
    <row r="7" customFormat="false" ht="15" hidden="false" customHeight="true" outlineLevel="0" collapsed="false">
      <c r="A7" s="2"/>
      <c r="B7" s="2"/>
      <c r="C7" s="5" t="s">
        <v>6</v>
      </c>
      <c r="D7" s="8" t="n">
        <f aca="false">IFERROR(IF(OR(D5="",D6=""), 0, IF(VLOOKUP(D5,'Toll Data'!$A:$C,2,FALSE())=VLOOKUP(D6,'Toll Data'!$A:$C,2,FALSE()), ABS(VLOOKUP(D5,'Toll Data'!$A:$C,3,FALSE())-VLOOKUP(D6,'Toll Data'!$A:$C,3,FALSE())), VLOOKUP(D5,'Toll Data'!$A:$C,3,FALSE())+VLOOKUP(D6,'Toll Data'!$A:$C,3,FALSE())+15)), 0)</f>
        <v>795</v>
      </c>
      <c r="E7" s="9" t="s">
        <v>7</v>
      </c>
      <c r="F7" s="2"/>
      <c r="G7" s="2"/>
    </row>
    <row r="8" customFormat="false" ht="15" hidden="false" customHeight="true" outlineLevel="0" collapsed="false">
      <c r="A8" s="2"/>
      <c r="B8" s="2"/>
      <c r="C8" s="5" t="s">
        <v>8</v>
      </c>
      <c r="D8" s="10" t="n">
        <f aca="false">IFERROR(IF(D7=0, 0, D7*0.1088), 0)</f>
        <v>86.496</v>
      </c>
      <c r="E8" s="9" t="s">
        <v>9</v>
      </c>
      <c r="F8" s="2"/>
      <c r="G8" s="2"/>
    </row>
    <row r="9" customFormat="false" ht="15" hidden="false" customHeight="true" outlineLevel="0" collapsed="false">
      <c r="A9" s="2"/>
      <c r="B9" s="2"/>
      <c r="C9" s="7"/>
      <c r="D9" s="7"/>
      <c r="E9" s="7"/>
      <c r="F9" s="2"/>
      <c r="G9" s="2"/>
    </row>
    <row r="10" customFormat="false" ht="15" hidden="false" customHeight="true" outlineLevel="0" collapsed="false">
      <c r="A10" s="2"/>
      <c r="B10" s="2"/>
      <c r="C10" s="4" t="s">
        <v>10</v>
      </c>
      <c r="D10" s="4"/>
      <c r="E10" s="4"/>
      <c r="F10" s="2"/>
      <c r="G10" s="2"/>
    </row>
    <row r="11" customFormat="false" ht="15" hidden="false" customHeight="true" outlineLevel="0" collapsed="false">
      <c r="A11" s="2"/>
      <c r="B11" s="2"/>
      <c r="C11" s="5" t="s">
        <v>11</v>
      </c>
      <c r="D11" s="6" t="s">
        <v>12</v>
      </c>
      <c r="E11" s="7"/>
      <c r="F11" s="2"/>
      <c r="G11" s="2"/>
    </row>
    <row r="12" customFormat="false" ht="15" hidden="false" customHeight="true" outlineLevel="0" collapsed="false">
      <c r="A12" s="2"/>
      <c r="B12" s="2"/>
      <c r="C12" s="5" t="s">
        <v>13</v>
      </c>
      <c r="D12" s="6" t="s">
        <v>14</v>
      </c>
      <c r="E12" s="7"/>
      <c r="F12" s="2"/>
      <c r="G12" s="2"/>
    </row>
    <row r="13" customFormat="false" ht="15" hidden="false" customHeight="true" outlineLevel="0" collapsed="false">
      <c r="A13" s="2"/>
      <c r="B13" s="2"/>
      <c r="C13" s="5" t="s">
        <v>15</v>
      </c>
      <c r="D13" s="11" t="n">
        <f aca="false">IFERROR(VLOOKUP(D11,Vehicles!$A:$D,3,FALSE()),0)</f>
        <v>6.8</v>
      </c>
      <c r="E13" s="9" t="str">
        <f aca="false">IFERROR(" "&amp;VLOOKUP(D11,Vehicles!$A:$D,4,FALSE()),"")</f>
        <v> L/100km</v>
      </c>
      <c r="F13" s="2"/>
      <c r="G13" s="2"/>
    </row>
    <row r="14" customFormat="false" ht="15" hidden="false" customHeight="true" outlineLevel="0" collapsed="false">
      <c r="A14" s="2"/>
      <c r="B14" s="2"/>
      <c r="C14" s="5" t="s">
        <v>16</v>
      </c>
      <c r="D14" s="10" t="n">
        <f aca="false">IFERROR(IF(VLOOKUP(D11,Vehicles!$A:$B,2,FALSE())="EV",IF(D12=Fuels!$A$5,Fuels!$B$5,IF(D12=Fuels!$A$6,Fuels!$B$6,IF(D12=Fuels!$A$7,Fuels!$B$7,Fuels!$B$5))),VLOOKUP(D12,Fuels!$A:$C,2,FALSE())),0)</f>
        <v>1.99</v>
      </c>
      <c r="E14" s="9" t="str">
        <f aca="false">IFERROR(IF(VLOOKUP(D11,Vehicles!$A:$B,2,FALSE())="EV"," RM/kWh",VLOOKUP(D12,Fuels!$A:$C,3,FALSE())),"")</f>
        <v>RM/L</v>
      </c>
      <c r="F14" s="2"/>
      <c r="G14" s="2"/>
    </row>
    <row r="15" customFormat="false" ht="15" hidden="false" customHeight="true" outlineLevel="0" collapsed="false">
      <c r="A15" s="2"/>
      <c r="B15" s="2"/>
      <c r="C15" s="12" t="s">
        <v>17</v>
      </c>
      <c r="D15" s="13" t="n">
        <f aca="false">IFERROR(IF(VLOOKUP(D11,Vehicles!$A:$B,2,FALSE())="EV",IF(D12=Fuels!$A$5,Fuels!$F$5,IF(D12=Fuels!$A$6,Fuels!$F$6,IF(D12=Fuels!$A$7,Fuels!$F$7,Fuels!$F$5))),VLOOKUP(D12,Fuels!$A:$F,6,FALSE())),0)</f>
        <v>4.02</v>
      </c>
      <c r="E15" s="14" t="str">
        <f aca="false">IFERROR(IF(VLOOKUP(D11,Vehicles!$A:$B,2,FALSE())="EV"," RM/kWh",VLOOKUP(D12,Fuels!$A:$C,3,FALSE())),"")</f>
        <v>RM/L</v>
      </c>
      <c r="F15" s="2"/>
      <c r="G15" s="2"/>
    </row>
    <row r="16" customFormat="false" ht="15" hidden="false" customHeight="true" outlineLevel="0" collapsed="false">
      <c r="A16" s="2"/>
      <c r="B16" s="2"/>
      <c r="C16" s="15" t="s">
        <v>18</v>
      </c>
      <c r="D16" s="15"/>
      <c r="E16" s="15"/>
      <c r="F16" s="2"/>
      <c r="G16" s="2"/>
    </row>
    <row r="17" customFormat="false" ht="15" hidden="false" customHeight="true" outlineLevel="0" collapsed="false">
      <c r="A17" s="2"/>
      <c r="B17" s="2"/>
      <c r="C17" s="16" t="s">
        <v>19</v>
      </c>
      <c r="D17" s="16"/>
      <c r="E17" s="16"/>
      <c r="F17" s="2"/>
      <c r="G17" s="2"/>
    </row>
    <row r="18" customFormat="false" ht="15" hidden="false" customHeight="true" outlineLevel="0" collapsed="false">
      <c r="A18" s="2"/>
      <c r="B18" s="2"/>
      <c r="C18" s="5" t="s">
        <v>20</v>
      </c>
      <c r="D18" s="10" t="n">
        <f aca="false">IFERROR(IF(OR(D7=0,D13=0,D14=0),0,IF(OR(D12=Fuels!$A$6,D12=Fuels!$A$7),0,(D7/100)*D13*D14)),0)</f>
        <v>107.5794</v>
      </c>
      <c r="E18" s="9" t="s">
        <v>9</v>
      </c>
      <c r="F18" s="2"/>
      <c r="G18" s="2"/>
    </row>
    <row r="19" customFormat="false" ht="17.25" hidden="false" customHeight="true" outlineLevel="0" collapsed="false">
      <c r="A19" s="2"/>
      <c r="B19" s="2"/>
      <c r="C19" s="12" t="s">
        <v>21</v>
      </c>
      <c r="D19" s="10" t="n">
        <f aca="false">IFERROR(IF(OR(D7=0,D13=0,D14=0),0,IF(OR(D12=Fuels!$A$6,D12=Fuels!$A$7),(D7/100)*D13*D14,0)),0)</f>
        <v>0</v>
      </c>
      <c r="E19" s="9" t="s">
        <v>9</v>
      </c>
      <c r="F19" s="2"/>
      <c r="G19" s="2"/>
    </row>
    <row r="20" customFormat="false" ht="15" hidden="false" customHeight="true" outlineLevel="0" collapsed="false">
      <c r="A20" s="2"/>
      <c r="B20" s="2"/>
      <c r="C20" s="12" t="s">
        <v>22</v>
      </c>
      <c r="D20" s="17" t="n">
        <f aca="false">IFERROR(IF(OR(D7=0,D13=0),0,(D7/100)*D13*MAX(D15-D14,0)),0)</f>
        <v>109.7418</v>
      </c>
      <c r="E20" s="18" t="s">
        <v>9</v>
      </c>
      <c r="F20" s="2"/>
      <c r="G20" s="2"/>
    </row>
    <row r="21" customFormat="false" ht="15" hidden="false" customHeight="true" outlineLevel="0" collapsed="false">
      <c r="A21" s="2"/>
      <c r="B21" s="2"/>
      <c r="C21" s="12" t="s">
        <v>23</v>
      </c>
      <c r="D21" s="17" t="n">
        <f aca="false">IFERROR(D18+D19+D20,0)</f>
        <v>217.3212</v>
      </c>
      <c r="E21" s="18" t="s">
        <v>9</v>
      </c>
      <c r="F21" s="2"/>
      <c r="G21" s="2"/>
    </row>
    <row r="22" customFormat="false" ht="32.25" hidden="false" customHeight="true" outlineLevel="0" collapsed="false">
      <c r="A22" s="2"/>
      <c r="B22" s="2"/>
      <c r="C22" s="19" t="s">
        <v>24</v>
      </c>
      <c r="D22" s="20" t="n">
        <f aca="false">IFERROR(D8+D18+D19,0)</f>
        <v>194.0754</v>
      </c>
      <c r="E22" s="14" t="s">
        <v>9</v>
      </c>
      <c r="F22" s="2"/>
      <c r="G22" s="2"/>
    </row>
    <row r="23" customFormat="false" ht="15" hidden="false" customHeight="true" outlineLevel="0" collapsed="false">
      <c r="A23" s="2"/>
      <c r="B23" s="2"/>
      <c r="F23" s="2"/>
      <c r="G23" s="2"/>
    </row>
    <row r="24" customFormat="false" ht="15" hidden="false" customHeight="true" outlineLevel="0" collapsed="false">
      <c r="A24" s="2"/>
      <c r="B24" s="2"/>
      <c r="F24" s="2"/>
      <c r="G24" s="2"/>
    </row>
    <row r="25" customFormat="false" ht="15" hidden="false" customHeight="true" outlineLevel="0" collapsed="false">
      <c r="A25" s="2"/>
      <c r="B25" s="2"/>
      <c r="C25" s="21" t="s">
        <v>25</v>
      </c>
      <c r="D25" s="21"/>
      <c r="E25" s="21"/>
      <c r="F25" s="2"/>
      <c r="G25" s="2"/>
    </row>
  </sheetData>
  <mergeCells count="6">
    <mergeCell ref="C2:E3"/>
    <mergeCell ref="C4:E4"/>
    <mergeCell ref="C10:E10"/>
    <mergeCell ref="C16:E16"/>
    <mergeCell ref="C17:E17"/>
    <mergeCell ref="C25:E25"/>
  </mergeCells>
  <dataValidations count="4">
    <dataValidation allowBlank="true" errorStyle="stop" operator="between" showDropDown="false" showErrorMessage="false" showInputMessage="false" sqref="D5" type="list">
      <formula1>'Toll Data'!$A$2:$A$92</formula1>
      <formula2>0</formula2>
    </dataValidation>
    <dataValidation allowBlank="true" errorStyle="stop" operator="between" showDropDown="false" showErrorMessage="false" showInputMessage="false" sqref="D6" type="list">
      <formula1>'Toll Data'!$A$2:$A$92</formula1>
      <formula2>0</formula2>
    </dataValidation>
    <dataValidation allowBlank="true" errorStyle="stop" operator="between" showDropDown="false" showErrorMessage="false" showInputMessage="false" sqref="D11" type="list">
      <formula1>Vehicles!$A$2:$A$28</formula1>
      <formula2>0</formula2>
    </dataValidation>
    <dataValidation allowBlank="true" errorStyle="stop" operator="between" showDropDown="false" showErrorMessage="false" showInputMessage="false" sqref="D12" type="list">
      <formula1>Fuels!$A$2:$A$7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25"/>
  </cols>
  <sheetData>
    <row r="1" customFormat="false" ht="15" hidden="false" customHeight="true" outlineLevel="0" collapsed="false">
      <c r="A1" s="22" t="s">
        <v>26</v>
      </c>
      <c r="B1" s="22" t="s">
        <v>27</v>
      </c>
      <c r="C1" s="22" t="s">
        <v>28</v>
      </c>
    </row>
    <row r="2" customFormat="false" ht="15" hidden="false" customHeight="true" outlineLevel="0" collapsed="false">
      <c r="A2" s="1" t="s">
        <v>29</v>
      </c>
      <c r="B2" s="1" t="s">
        <v>30</v>
      </c>
      <c r="C2" s="1" t="n">
        <v>485</v>
      </c>
    </row>
    <row r="3" customFormat="false" ht="15" hidden="false" customHeight="true" outlineLevel="0" collapsed="false">
      <c r="A3" s="1" t="s">
        <v>3</v>
      </c>
      <c r="B3" s="1" t="s">
        <v>30</v>
      </c>
      <c r="C3" s="1" t="n">
        <v>460</v>
      </c>
    </row>
    <row r="4" customFormat="false" ht="15" hidden="false" customHeight="true" outlineLevel="0" collapsed="false">
      <c r="A4" s="1" t="s">
        <v>31</v>
      </c>
      <c r="B4" s="1" t="s">
        <v>30</v>
      </c>
      <c r="C4" s="1" t="n">
        <v>437</v>
      </c>
    </row>
    <row r="5" customFormat="false" ht="15" hidden="false" customHeight="true" outlineLevel="0" collapsed="false">
      <c r="A5" s="1" t="s">
        <v>32</v>
      </c>
      <c r="B5" s="1" t="s">
        <v>30</v>
      </c>
      <c r="C5" s="1" t="n">
        <v>430</v>
      </c>
    </row>
    <row r="6" customFormat="false" ht="15" hidden="false" customHeight="true" outlineLevel="0" collapsed="false">
      <c r="A6" s="1" t="s">
        <v>33</v>
      </c>
      <c r="B6" s="1" t="s">
        <v>30</v>
      </c>
      <c r="C6" s="1" t="n">
        <v>415</v>
      </c>
    </row>
    <row r="7" customFormat="false" ht="15" hidden="false" customHeight="true" outlineLevel="0" collapsed="false">
      <c r="A7" s="1" t="s">
        <v>34</v>
      </c>
      <c r="B7" s="1" t="s">
        <v>30</v>
      </c>
      <c r="C7" s="1" t="n">
        <v>400</v>
      </c>
    </row>
    <row r="8" customFormat="false" ht="15" hidden="false" customHeight="true" outlineLevel="0" collapsed="false">
      <c r="A8" s="1" t="s">
        <v>35</v>
      </c>
      <c r="B8" s="1" t="s">
        <v>30</v>
      </c>
      <c r="C8" s="1" t="n">
        <v>375</v>
      </c>
    </row>
    <row r="9" customFormat="false" ht="15" hidden="false" customHeight="true" outlineLevel="0" collapsed="false">
      <c r="A9" s="1" t="s">
        <v>36</v>
      </c>
      <c r="B9" s="1" t="s">
        <v>30</v>
      </c>
      <c r="C9" s="1" t="n">
        <v>365</v>
      </c>
    </row>
    <row r="10" customFormat="false" ht="15" hidden="false" customHeight="true" outlineLevel="0" collapsed="false">
      <c r="A10" s="1" t="s">
        <v>37</v>
      </c>
      <c r="B10" s="1" t="s">
        <v>30</v>
      </c>
      <c r="C10" s="1" t="n">
        <v>355</v>
      </c>
    </row>
    <row r="11" customFormat="false" ht="15" hidden="false" customHeight="true" outlineLevel="0" collapsed="false">
      <c r="A11" s="1" t="s">
        <v>38</v>
      </c>
      <c r="B11" s="1" t="s">
        <v>30</v>
      </c>
      <c r="C11" s="1" t="n">
        <v>345</v>
      </c>
    </row>
    <row r="12" customFormat="false" ht="15" hidden="false" customHeight="true" outlineLevel="0" collapsed="false">
      <c r="A12" s="1" t="s">
        <v>39</v>
      </c>
      <c r="B12" s="1" t="s">
        <v>30</v>
      </c>
      <c r="C12" s="1" t="n">
        <v>335</v>
      </c>
    </row>
    <row r="13" customFormat="false" ht="15" hidden="false" customHeight="true" outlineLevel="0" collapsed="false">
      <c r="A13" s="1" t="s">
        <v>40</v>
      </c>
      <c r="B13" s="1" t="s">
        <v>30</v>
      </c>
      <c r="C13" s="1" t="n">
        <v>320</v>
      </c>
    </row>
    <row r="14" customFormat="false" ht="15" hidden="false" customHeight="true" outlineLevel="0" collapsed="false">
      <c r="A14" s="1" t="s">
        <v>41</v>
      </c>
      <c r="B14" s="1" t="s">
        <v>30</v>
      </c>
      <c r="C14" s="1" t="n">
        <v>315</v>
      </c>
    </row>
    <row r="15" customFormat="false" ht="15" hidden="false" customHeight="true" outlineLevel="0" collapsed="false">
      <c r="A15" s="1" t="s">
        <v>42</v>
      </c>
      <c r="B15" s="1" t="s">
        <v>30</v>
      </c>
      <c r="C15" s="1" t="n">
        <v>310</v>
      </c>
    </row>
    <row r="16" customFormat="false" ht="15" hidden="false" customHeight="true" outlineLevel="0" collapsed="false">
      <c r="A16" s="1" t="s">
        <v>43</v>
      </c>
      <c r="B16" s="1" t="s">
        <v>30</v>
      </c>
      <c r="C16" s="1" t="n">
        <v>295</v>
      </c>
    </row>
    <row r="17" customFormat="false" ht="15" hidden="false" customHeight="true" outlineLevel="0" collapsed="false">
      <c r="A17" s="1" t="s">
        <v>44</v>
      </c>
      <c r="B17" s="1" t="s">
        <v>30</v>
      </c>
      <c r="C17" s="1" t="n">
        <v>280</v>
      </c>
    </row>
    <row r="18" customFormat="false" ht="15" hidden="false" customHeight="true" outlineLevel="0" collapsed="false">
      <c r="A18" s="1" t="s">
        <v>45</v>
      </c>
      <c r="B18" s="1" t="s">
        <v>30</v>
      </c>
      <c r="C18" s="1" t="n">
        <v>270</v>
      </c>
    </row>
    <row r="19" customFormat="false" ht="15" hidden="false" customHeight="true" outlineLevel="0" collapsed="false">
      <c r="A19" s="1" t="s">
        <v>46</v>
      </c>
      <c r="B19" s="1" t="s">
        <v>30</v>
      </c>
      <c r="C19" s="1" t="n">
        <v>250</v>
      </c>
    </row>
    <row r="20" customFormat="false" ht="15" hidden="false" customHeight="true" outlineLevel="0" collapsed="false">
      <c r="A20" s="1" t="s">
        <v>47</v>
      </c>
      <c r="B20" s="1" t="s">
        <v>30</v>
      </c>
      <c r="C20" s="1" t="n">
        <v>240</v>
      </c>
    </row>
    <row r="21" customFormat="false" ht="15" hidden="false" customHeight="true" outlineLevel="0" collapsed="false">
      <c r="A21" s="1" t="s">
        <v>48</v>
      </c>
      <c r="B21" s="1" t="s">
        <v>30</v>
      </c>
      <c r="C21" s="1" t="n">
        <v>215</v>
      </c>
    </row>
    <row r="22" customFormat="false" ht="15" hidden="false" customHeight="true" outlineLevel="0" collapsed="false">
      <c r="A22" s="1" t="s">
        <v>49</v>
      </c>
      <c r="B22" s="1" t="s">
        <v>30</v>
      </c>
      <c r="C22" s="1" t="n">
        <v>195</v>
      </c>
    </row>
    <row r="23" customFormat="false" ht="15" hidden="false" customHeight="true" outlineLevel="0" collapsed="false">
      <c r="A23" s="1" t="s">
        <v>50</v>
      </c>
      <c r="B23" s="1" t="s">
        <v>30</v>
      </c>
      <c r="C23" s="1" t="n">
        <v>190</v>
      </c>
    </row>
    <row r="24" customFormat="false" ht="15" hidden="false" customHeight="true" outlineLevel="0" collapsed="false">
      <c r="A24" s="1" t="s">
        <v>51</v>
      </c>
      <c r="B24" s="1" t="s">
        <v>30</v>
      </c>
      <c r="C24" s="1" t="n">
        <v>180</v>
      </c>
    </row>
    <row r="25" customFormat="false" ht="15" hidden="false" customHeight="true" outlineLevel="0" collapsed="false">
      <c r="A25" s="1" t="s">
        <v>52</v>
      </c>
      <c r="B25" s="1" t="s">
        <v>30</v>
      </c>
      <c r="C25" s="1" t="n">
        <v>170</v>
      </c>
    </row>
    <row r="26" customFormat="false" ht="15" hidden="false" customHeight="true" outlineLevel="0" collapsed="false">
      <c r="A26" s="1" t="s">
        <v>53</v>
      </c>
      <c r="B26" s="1" t="s">
        <v>30</v>
      </c>
      <c r="C26" s="1" t="n">
        <v>145</v>
      </c>
    </row>
    <row r="27" customFormat="false" ht="15" hidden="false" customHeight="true" outlineLevel="0" collapsed="false">
      <c r="A27" s="1" t="s">
        <v>54</v>
      </c>
      <c r="B27" s="1" t="s">
        <v>30</v>
      </c>
      <c r="C27" s="1" t="n">
        <v>130</v>
      </c>
    </row>
    <row r="28" customFormat="false" ht="15" hidden="false" customHeight="true" outlineLevel="0" collapsed="false">
      <c r="A28" s="1" t="s">
        <v>55</v>
      </c>
      <c r="B28" s="1" t="s">
        <v>30</v>
      </c>
      <c r="C28" s="1" t="n">
        <v>115</v>
      </c>
    </row>
    <row r="29" customFormat="false" ht="15" hidden="false" customHeight="true" outlineLevel="0" collapsed="false">
      <c r="A29" s="1" t="s">
        <v>56</v>
      </c>
      <c r="B29" s="1" t="s">
        <v>30</v>
      </c>
      <c r="C29" s="1" t="n">
        <v>100</v>
      </c>
    </row>
    <row r="30" customFormat="false" ht="15" hidden="false" customHeight="true" outlineLevel="0" collapsed="false">
      <c r="A30" s="1" t="s">
        <v>57</v>
      </c>
      <c r="B30" s="1" t="s">
        <v>30</v>
      </c>
      <c r="C30" s="1" t="n">
        <v>85</v>
      </c>
    </row>
    <row r="31" customFormat="false" ht="15" hidden="false" customHeight="true" outlineLevel="0" collapsed="false">
      <c r="A31" s="1" t="s">
        <v>58</v>
      </c>
      <c r="B31" s="1" t="s">
        <v>30</v>
      </c>
      <c r="C31" s="1" t="n">
        <v>70</v>
      </c>
    </row>
    <row r="32" customFormat="false" ht="15" hidden="false" customHeight="true" outlineLevel="0" collapsed="false">
      <c r="A32" s="1" t="s">
        <v>59</v>
      </c>
      <c r="B32" s="1" t="s">
        <v>30</v>
      </c>
      <c r="C32" s="1" t="n">
        <v>55</v>
      </c>
    </row>
    <row r="33" customFormat="false" ht="15" hidden="false" customHeight="true" outlineLevel="0" collapsed="false">
      <c r="A33" s="1" t="s">
        <v>60</v>
      </c>
      <c r="B33" s="1" t="s">
        <v>30</v>
      </c>
      <c r="C33" s="1" t="n">
        <v>50</v>
      </c>
    </row>
    <row r="34" customFormat="false" ht="15" hidden="false" customHeight="true" outlineLevel="0" collapsed="false">
      <c r="A34" s="1" t="s">
        <v>61</v>
      </c>
      <c r="B34" s="1" t="s">
        <v>30</v>
      </c>
      <c r="C34" s="1" t="n">
        <v>25</v>
      </c>
    </row>
    <row r="35" customFormat="false" ht="15" hidden="false" customHeight="true" outlineLevel="0" collapsed="false">
      <c r="A35" s="1" t="s">
        <v>62</v>
      </c>
      <c r="B35" s="1" t="s">
        <v>30</v>
      </c>
      <c r="C35" s="1" t="n">
        <v>15</v>
      </c>
    </row>
    <row r="36" customFormat="false" ht="15" hidden="false" customHeight="true" outlineLevel="0" collapsed="false">
      <c r="A36" s="1" t="s">
        <v>63</v>
      </c>
      <c r="B36" s="1" t="s">
        <v>64</v>
      </c>
      <c r="C36" s="1" t="n">
        <v>0</v>
      </c>
    </row>
    <row r="37" customFormat="false" ht="15" hidden="false" customHeight="true" outlineLevel="0" collapsed="false">
      <c r="A37" s="1" t="s">
        <v>65</v>
      </c>
      <c r="B37" s="1" t="s">
        <v>64</v>
      </c>
      <c r="C37" s="1" t="n">
        <v>10</v>
      </c>
    </row>
    <row r="38" customFormat="false" ht="15" hidden="false" customHeight="true" outlineLevel="0" collapsed="false">
      <c r="A38" s="1" t="s">
        <v>66</v>
      </c>
      <c r="B38" s="1" t="s">
        <v>64</v>
      </c>
      <c r="C38" s="1" t="n">
        <v>15</v>
      </c>
    </row>
    <row r="39" customFormat="false" ht="15" hidden="false" customHeight="true" outlineLevel="0" collapsed="false">
      <c r="A39" s="1" t="s">
        <v>67</v>
      </c>
      <c r="B39" s="1" t="s">
        <v>64</v>
      </c>
      <c r="C39" s="1" t="n">
        <v>20</v>
      </c>
    </row>
    <row r="40" customFormat="false" ht="15" hidden="false" customHeight="true" outlineLevel="0" collapsed="false">
      <c r="A40" s="1" t="s">
        <v>68</v>
      </c>
      <c r="B40" s="1" t="s">
        <v>64</v>
      </c>
      <c r="C40" s="1" t="n">
        <v>25</v>
      </c>
    </row>
    <row r="41" customFormat="false" ht="15" hidden="false" customHeight="true" outlineLevel="0" collapsed="false">
      <c r="A41" s="1" t="s">
        <v>69</v>
      </c>
      <c r="B41" s="1" t="s">
        <v>64</v>
      </c>
      <c r="C41" s="1" t="n">
        <v>28</v>
      </c>
    </row>
    <row r="42" customFormat="false" ht="15" hidden="false" customHeight="true" outlineLevel="0" collapsed="false">
      <c r="A42" s="1" t="s">
        <v>70</v>
      </c>
      <c r="B42" s="1" t="s">
        <v>64</v>
      </c>
      <c r="C42" s="1" t="n">
        <v>33</v>
      </c>
    </row>
    <row r="43" customFormat="false" ht="15" hidden="false" customHeight="true" outlineLevel="0" collapsed="false">
      <c r="A43" s="1" t="s">
        <v>71</v>
      </c>
      <c r="B43" s="1" t="s">
        <v>64</v>
      </c>
      <c r="C43" s="1" t="n">
        <v>40</v>
      </c>
    </row>
    <row r="44" customFormat="false" ht="15" hidden="false" customHeight="true" outlineLevel="0" collapsed="false">
      <c r="A44" s="1" t="s">
        <v>72</v>
      </c>
      <c r="B44" s="1" t="s">
        <v>64</v>
      </c>
      <c r="C44" s="1" t="n">
        <v>55</v>
      </c>
    </row>
    <row r="45" customFormat="false" ht="15" hidden="false" customHeight="true" outlineLevel="0" collapsed="false">
      <c r="A45" s="1" t="s">
        <v>73</v>
      </c>
      <c r="B45" s="1" t="s">
        <v>64</v>
      </c>
      <c r="C45" s="1" t="n">
        <v>70</v>
      </c>
    </row>
    <row r="46" customFormat="false" ht="15" hidden="false" customHeight="true" outlineLevel="0" collapsed="false">
      <c r="A46" s="1" t="s">
        <v>74</v>
      </c>
      <c r="B46" s="1" t="s">
        <v>75</v>
      </c>
      <c r="C46" s="1" t="n">
        <v>0</v>
      </c>
    </row>
    <row r="47" customFormat="false" ht="15" hidden="false" customHeight="true" outlineLevel="0" collapsed="false">
      <c r="A47" s="1" t="s">
        <v>76</v>
      </c>
      <c r="B47" s="1" t="s">
        <v>75</v>
      </c>
      <c r="C47" s="1" t="n">
        <v>5</v>
      </c>
    </row>
    <row r="48" customFormat="false" ht="15" hidden="false" customHeight="true" outlineLevel="0" collapsed="false">
      <c r="A48" s="1" t="s">
        <v>77</v>
      </c>
      <c r="B48" s="1" t="s">
        <v>75</v>
      </c>
      <c r="C48" s="1" t="n">
        <v>10</v>
      </c>
    </row>
    <row r="49" customFormat="false" ht="15" hidden="false" customHeight="true" outlineLevel="0" collapsed="false">
      <c r="A49" s="1" t="s">
        <v>78</v>
      </c>
      <c r="B49" s="1" t="s">
        <v>75</v>
      </c>
      <c r="C49" s="1" t="n">
        <v>18</v>
      </c>
    </row>
    <row r="50" customFormat="false" ht="15" hidden="false" customHeight="true" outlineLevel="0" collapsed="false">
      <c r="A50" s="1" t="s">
        <v>79</v>
      </c>
      <c r="B50" s="1" t="s">
        <v>75</v>
      </c>
      <c r="C50" s="1" t="n">
        <v>25</v>
      </c>
    </row>
    <row r="51" customFormat="false" ht="15" hidden="false" customHeight="true" outlineLevel="0" collapsed="false">
      <c r="A51" s="1" t="s">
        <v>80</v>
      </c>
      <c r="B51" s="1" t="s">
        <v>75</v>
      </c>
      <c r="C51" s="1" t="n">
        <v>35</v>
      </c>
    </row>
    <row r="52" customFormat="false" ht="15" hidden="false" customHeight="true" outlineLevel="0" collapsed="false">
      <c r="A52" s="1" t="s">
        <v>81</v>
      </c>
      <c r="B52" s="1" t="s">
        <v>75</v>
      </c>
      <c r="C52" s="1" t="n">
        <v>55</v>
      </c>
    </row>
    <row r="53" customFormat="false" ht="15" hidden="false" customHeight="true" outlineLevel="0" collapsed="false">
      <c r="A53" s="1" t="s">
        <v>82</v>
      </c>
      <c r="B53" s="1" t="s">
        <v>75</v>
      </c>
      <c r="C53" s="1" t="n">
        <v>65</v>
      </c>
    </row>
    <row r="54" customFormat="false" ht="15" hidden="false" customHeight="true" outlineLevel="0" collapsed="false">
      <c r="A54" s="1" t="s">
        <v>83</v>
      </c>
      <c r="B54" s="1" t="s">
        <v>75</v>
      </c>
      <c r="C54" s="1" t="n">
        <v>70</v>
      </c>
    </row>
    <row r="55" customFormat="false" ht="15" hidden="false" customHeight="true" outlineLevel="0" collapsed="false">
      <c r="A55" s="1" t="s">
        <v>84</v>
      </c>
      <c r="B55" s="1" t="s">
        <v>75</v>
      </c>
      <c r="C55" s="1" t="n">
        <v>90</v>
      </c>
    </row>
    <row r="56" customFormat="false" ht="15" hidden="false" customHeight="true" outlineLevel="0" collapsed="false">
      <c r="A56" s="1" t="s">
        <v>85</v>
      </c>
      <c r="B56" s="1" t="s">
        <v>75</v>
      </c>
      <c r="C56" s="1" t="n">
        <v>110</v>
      </c>
    </row>
    <row r="57" customFormat="false" ht="15" hidden="false" customHeight="true" outlineLevel="0" collapsed="false">
      <c r="A57" s="1" t="s">
        <v>86</v>
      </c>
      <c r="B57" s="1" t="s">
        <v>75</v>
      </c>
      <c r="C57" s="1" t="n">
        <v>135</v>
      </c>
    </row>
    <row r="58" customFormat="false" ht="15" hidden="false" customHeight="true" outlineLevel="0" collapsed="false">
      <c r="A58" s="1" t="s">
        <v>87</v>
      </c>
      <c r="B58" s="1" t="s">
        <v>75</v>
      </c>
      <c r="C58" s="1" t="n">
        <v>155</v>
      </c>
    </row>
    <row r="59" customFormat="false" ht="15" hidden="false" customHeight="true" outlineLevel="0" collapsed="false">
      <c r="A59" s="1" t="s">
        <v>88</v>
      </c>
      <c r="B59" s="1" t="s">
        <v>75</v>
      </c>
      <c r="C59" s="1" t="n">
        <v>175</v>
      </c>
    </row>
    <row r="60" customFormat="false" ht="15" hidden="false" customHeight="true" outlineLevel="0" collapsed="false">
      <c r="A60" s="1" t="s">
        <v>89</v>
      </c>
      <c r="B60" s="1" t="s">
        <v>75</v>
      </c>
      <c r="C60" s="1" t="n">
        <v>200</v>
      </c>
    </row>
    <row r="61" customFormat="false" ht="15" hidden="false" customHeight="true" outlineLevel="0" collapsed="false">
      <c r="A61" s="1" t="s">
        <v>90</v>
      </c>
      <c r="B61" s="1" t="s">
        <v>75</v>
      </c>
      <c r="C61" s="1" t="n">
        <v>225</v>
      </c>
    </row>
    <row r="62" customFormat="false" ht="15" hidden="false" customHeight="true" outlineLevel="0" collapsed="false">
      <c r="A62" s="1" t="s">
        <v>91</v>
      </c>
      <c r="B62" s="1" t="s">
        <v>75</v>
      </c>
      <c r="C62" s="1" t="n">
        <v>235</v>
      </c>
    </row>
    <row r="63" customFormat="false" ht="15" hidden="false" customHeight="true" outlineLevel="0" collapsed="false">
      <c r="A63" s="1" t="s">
        <v>92</v>
      </c>
      <c r="B63" s="1" t="s">
        <v>75</v>
      </c>
      <c r="C63" s="1" t="n">
        <v>250</v>
      </c>
    </row>
    <row r="64" customFormat="false" ht="15" hidden="false" customHeight="true" outlineLevel="0" collapsed="false">
      <c r="A64" s="1" t="s">
        <v>93</v>
      </c>
      <c r="B64" s="1" t="s">
        <v>75</v>
      </c>
      <c r="C64" s="1" t="n">
        <v>265</v>
      </c>
    </row>
    <row r="65" customFormat="false" ht="15" hidden="false" customHeight="true" outlineLevel="0" collapsed="false">
      <c r="A65" s="1" t="s">
        <v>94</v>
      </c>
      <c r="B65" s="1" t="s">
        <v>75</v>
      </c>
      <c r="C65" s="1" t="n">
        <v>275</v>
      </c>
    </row>
    <row r="66" customFormat="false" ht="15" hidden="false" customHeight="true" outlineLevel="0" collapsed="false">
      <c r="A66" s="1" t="s">
        <v>95</v>
      </c>
      <c r="B66" s="1" t="s">
        <v>75</v>
      </c>
      <c r="C66" s="1" t="n">
        <v>290</v>
      </c>
    </row>
    <row r="67" customFormat="false" ht="15" hidden="false" customHeight="true" outlineLevel="0" collapsed="false">
      <c r="A67" s="1" t="s">
        <v>96</v>
      </c>
      <c r="B67" s="1" t="s">
        <v>75</v>
      </c>
      <c r="C67" s="1" t="n">
        <v>305</v>
      </c>
    </row>
    <row r="68" customFormat="false" ht="15" hidden="false" customHeight="true" outlineLevel="0" collapsed="false">
      <c r="A68" s="1" t="s">
        <v>5</v>
      </c>
      <c r="B68" s="1" t="s">
        <v>75</v>
      </c>
      <c r="C68" s="1" t="n">
        <v>320</v>
      </c>
    </row>
    <row r="69" customFormat="false" ht="15" hidden="false" customHeight="true" outlineLevel="0" collapsed="false">
      <c r="A69" s="1" t="s">
        <v>97</v>
      </c>
      <c r="B69" s="1" t="s">
        <v>75</v>
      </c>
      <c r="C69" s="1" t="n">
        <v>330</v>
      </c>
    </row>
    <row r="70" customFormat="false" ht="15" hidden="false" customHeight="true" outlineLevel="0" collapsed="false">
      <c r="A70" s="1" t="s">
        <v>98</v>
      </c>
      <c r="B70" s="1" t="s">
        <v>75</v>
      </c>
      <c r="C70" s="1" t="n">
        <v>340</v>
      </c>
    </row>
    <row r="71" customFormat="false" ht="15" hidden="false" customHeight="true" outlineLevel="0" collapsed="false">
      <c r="A71" s="1" t="s">
        <v>99</v>
      </c>
      <c r="B71" s="1" t="s">
        <v>100</v>
      </c>
      <c r="C71" s="1" t="n">
        <v>0</v>
      </c>
    </row>
    <row r="72" customFormat="false" ht="15" hidden="false" customHeight="true" outlineLevel="0" collapsed="false">
      <c r="A72" s="1" t="s">
        <v>101</v>
      </c>
      <c r="B72" s="1" t="s">
        <v>100</v>
      </c>
      <c r="C72" s="1" t="n">
        <v>40</v>
      </c>
    </row>
    <row r="73" customFormat="false" ht="15" hidden="false" customHeight="true" outlineLevel="0" collapsed="false">
      <c r="A73" s="1" t="s">
        <v>102</v>
      </c>
      <c r="B73" s="1" t="s">
        <v>100</v>
      </c>
      <c r="C73" s="1" t="n">
        <v>60</v>
      </c>
    </row>
    <row r="74" customFormat="false" ht="15" hidden="false" customHeight="true" outlineLevel="0" collapsed="false">
      <c r="A74" s="1" t="s">
        <v>103</v>
      </c>
      <c r="B74" s="1" t="s">
        <v>100</v>
      </c>
      <c r="C74" s="1" t="n">
        <v>85</v>
      </c>
    </row>
    <row r="75" customFormat="false" ht="15" hidden="false" customHeight="true" outlineLevel="0" collapsed="false">
      <c r="A75" s="1" t="s">
        <v>104</v>
      </c>
      <c r="B75" s="1" t="s">
        <v>100</v>
      </c>
      <c r="C75" s="1" t="n">
        <v>105</v>
      </c>
    </row>
    <row r="76" customFormat="false" ht="15" hidden="false" customHeight="true" outlineLevel="0" collapsed="false">
      <c r="A76" s="1" t="s">
        <v>105</v>
      </c>
      <c r="B76" s="1" t="s">
        <v>100</v>
      </c>
      <c r="C76" s="1" t="n">
        <v>115</v>
      </c>
    </row>
    <row r="77" customFormat="false" ht="15" hidden="false" customHeight="true" outlineLevel="0" collapsed="false">
      <c r="A77" s="1" t="s">
        <v>106</v>
      </c>
      <c r="B77" s="1" t="s">
        <v>100</v>
      </c>
      <c r="C77" s="1" t="n">
        <v>145</v>
      </c>
    </row>
    <row r="78" customFormat="false" ht="15" hidden="false" customHeight="true" outlineLevel="0" collapsed="false">
      <c r="A78" s="1" t="s">
        <v>107</v>
      </c>
      <c r="B78" s="1" t="s">
        <v>100</v>
      </c>
      <c r="C78" s="1" t="n">
        <v>170</v>
      </c>
    </row>
    <row r="79" customFormat="false" ht="15" hidden="false" customHeight="true" outlineLevel="0" collapsed="false">
      <c r="A79" s="1" t="s">
        <v>108</v>
      </c>
      <c r="B79" s="1" t="s">
        <v>100</v>
      </c>
      <c r="C79" s="1" t="n">
        <v>190</v>
      </c>
    </row>
    <row r="80" customFormat="false" ht="15" hidden="false" customHeight="true" outlineLevel="0" collapsed="false">
      <c r="A80" s="1" t="s">
        <v>109</v>
      </c>
      <c r="B80" s="1" t="s">
        <v>100</v>
      </c>
      <c r="C80" s="1" t="n">
        <v>215</v>
      </c>
    </row>
    <row r="81" customFormat="false" ht="15" hidden="false" customHeight="true" outlineLevel="0" collapsed="false">
      <c r="A81" s="1" t="s">
        <v>110</v>
      </c>
      <c r="B81" s="1" t="s">
        <v>100</v>
      </c>
      <c r="C81" s="1" t="n">
        <v>240</v>
      </c>
    </row>
    <row r="82" customFormat="false" ht="15" hidden="false" customHeight="true" outlineLevel="0" collapsed="false">
      <c r="A82" s="1" t="s">
        <v>111</v>
      </c>
      <c r="B82" s="1" t="s">
        <v>100</v>
      </c>
      <c r="C82" s="1" t="n">
        <v>250</v>
      </c>
    </row>
    <row r="83" customFormat="false" ht="15" hidden="false" customHeight="true" outlineLevel="0" collapsed="false">
      <c r="A83" s="1" t="s">
        <v>112</v>
      </c>
      <c r="B83" s="1" t="s">
        <v>100</v>
      </c>
      <c r="C83" s="1" t="n">
        <v>275</v>
      </c>
    </row>
    <row r="84" customFormat="false" ht="15" hidden="false" customHeight="true" outlineLevel="0" collapsed="false">
      <c r="A84" s="1" t="s">
        <v>113</v>
      </c>
      <c r="B84" s="1" t="s">
        <v>100</v>
      </c>
      <c r="C84" s="1" t="n">
        <v>305</v>
      </c>
    </row>
    <row r="85" customFormat="false" ht="15" hidden="false" customHeight="true" outlineLevel="0" collapsed="false">
      <c r="A85" s="1" t="s">
        <v>114</v>
      </c>
      <c r="B85" s="1" t="s">
        <v>100</v>
      </c>
      <c r="C85" s="1" t="n">
        <v>325</v>
      </c>
    </row>
    <row r="86" customFormat="false" ht="15" hidden="false" customHeight="true" outlineLevel="0" collapsed="false">
      <c r="A86" s="1" t="s">
        <v>115</v>
      </c>
      <c r="B86" s="1" t="s">
        <v>100</v>
      </c>
      <c r="C86" s="1" t="n">
        <v>345</v>
      </c>
    </row>
    <row r="87" customFormat="false" ht="15" hidden="false" customHeight="true" outlineLevel="0" collapsed="false">
      <c r="A87" s="1" t="s">
        <v>116</v>
      </c>
      <c r="B87" s="1" t="s">
        <v>100</v>
      </c>
      <c r="C87" s="1" t="n">
        <v>360</v>
      </c>
    </row>
    <row r="88" customFormat="false" ht="15" hidden="false" customHeight="true" outlineLevel="0" collapsed="false">
      <c r="A88" s="1" t="s">
        <v>117</v>
      </c>
      <c r="B88" s="1" t="s">
        <v>100</v>
      </c>
      <c r="C88" s="1" t="n">
        <v>380</v>
      </c>
    </row>
    <row r="89" customFormat="false" ht="15" hidden="false" customHeight="true" outlineLevel="0" collapsed="false">
      <c r="A89" s="1" t="s">
        <v>118</v>
      </c>
      <c r="B89" s="1" t="s">
        <v>100</v>
      </c>
      <c r="C89" s="1" t="n">
        <v>400</v>
      </c>
    </row>
    <row r="90" customFormat="false" ht="15" hidden="false" customHeight="true" outlineLevel="0" collapsed="false">
      <c r="A90" s="1" t="s">
        <v>119</v>
      </c>
      <c r="B90" s="1" t="s">
        <v>100</v>
      </c>
      <c r="C90" s="1" t="n">
        <v>430</v>
      </c>
    </row>
    <row r="91" customFormat="false" ht="15" hidden="false" customHeight="true" outlineLevel="0" collapsed="false">
      <c r="A91" s="1" t="s">
        <v>120</v>
      </c>
      <c r="B91" s="1" t="s">
        <v>100</v>
      </c>
      <c r="C91" s="1" t="n">
        <v>450</v>
      </c>
    </row>
    <row r="92" customFormat="false" ht="15" hidden="false" customHeight="true" outlineLevel="0" collapsed="false">
      <c r="A92" s="1" t="s">
        <v>121</v>
      </c>
      <c r="B92" s="1" t="s">
        <v>100</v>
      </c>
      <c r="C92" s="1" t="n">
        <v>465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2" t="s">
        <v>122</v>
      </c>
      <c r="B1" s="22" t="s">
        <v>123</v>
      </c>
      <c r="C1" s="22" t="s">
        <v>124</v>
      </c>
      <c r="D1" s="22" t="s">
        <v>125</v>
      </c>
    </row>
    <row r="2" customFormat="false" ht="15" hidden="false" customHeight="true" outlineLevel="0" collapsed="false">
      <c r="A2" s="1" t="s">
        <v>12</v>
      </c>
      <c r="B2" s="1" t="s">
        <v>126</v>
      </c>
      <c r="C2" s="1" t="n">
        <v>6.8</v>
      </c>
      <c r="D2" s="23" t="s">
        <v>127</v>
      </c>
    </row>
    <row r="3" customFormat="false" ht="15" hidden="false" customHeight="true" outlineLevel="0" collapsed="false">
      <c r="A3" s="1" t="s">
        <v>128</v>
      </c>
      <c r="B3" s="1" t="s">
        <v>126</v>
      </c>
      <c r="C3" s="1" t="n">
        <v>5.4</v>
      </c>
      <c r="D3" s="23" t="s">
        <v>127</v>
      </c>
    </row>
    <row r="4" customFormat="false" ht="15" hidden="false" customHeight="true" outlineLevel="0" collapsed="false">
      <c r="A4" s="1" t="s">
        <v>129</v>
      </c>
      <c r="B4" s="1" t="s">
        <v>126</v>
      </c>
      <c r="C4" s="1" t="n">
        <v>7.2</v>
      </c>
      <c r="D4" s="23" t="s">
        <v>127</v>
      </c>
    </row>
    <row r="5" customFormat="false" ht="15" hidden="false" customHeight="true" outlineLevel="0" collapsed="false">
      <c r="A5" s="1" t="s">
        <v>130</v>
      </c>
      <c r="B5" s="1" t="s">
        <v>126</v>
      </c>
      <c r="C5" s="1" t="n">
        <v>7.8</v>
      </c>
      <c r="D5" s="23" t="s">
        <v>127</v>
      </c>
    </row>
    <row r="6" customFormat="false" ht="15" hidden="false" customHeight="true" outlineLevel="0" collapsed="false">
      <c r="A6" s="1" t="s">
        <v>131</v>
      </c>
      <c r="B6" s="1" t="s">
        <v>132</v>
      </c>
      <c r="C6" s="1" t="n">
        <v>16.5</v>
      </c>
      <c r="D6" s="23" t="s">
        <v>133</v>
      </c>
    </row>
    <row r="7" customFormat="false" ht="15" hidden="false" customHeight="true" outlineLevel="0" collapsed="false">
      <c r="A7" s="1" t="s">
        <v>134</v>
      </c>
      <c r="B7" s="1" t="s">
        <v>135</v>
      </c>
      <c r="C7" s="1" t="n">
        <v>4.6</v>
      </c>
      <c r="D7" s="23" t="s">
        <v>127</v>
      </c>
    </row>
    <row r="8" customFormat="false" ht="15" hidden="false" customHeight="true" outlineLevel="0" collapsed="false">
      <c r="A8" s="1" t="s">
        <v>136</v>
      </c>
      <c r="B8" s="1" t="s">
        <v>126</v>
      </c>
      <c r="C8" s="1" t="n">
        <v>5</v>
      </c>
      <c r="D8" s="23" t="s">
        <v>127</v>
      </c>
    </row>
    <row r="9" customFormat="false" ht="15" hidden="false" customHeight="true" outlineLevel="0" collapsed="false">
      <c r="A9" s="1" t="s">
        <v>137</v>
      </c>
      <c r="B9" s="1" t="s">
        <v>126</v>
      </c>
      <c r="C9" s="1" t="n">
        <v>6</v>
      </c>
      <c r="D9" s="23" t="s">
        <v>127</v>
      </c>
    </row>
    <row r="10" customFormat="false" ht="15" hidden="false" customHeight="true" outlineLevel="0" collapsed="false">
      <c r="A10" s="1" t="s">
        <v>138</v>
      </c>
      <c r="B10" s="1" t="s">
        <v>126</v>
      </c>
      <c r="C10" s="1" t="n">
        <v>7</v>
      </c>
      <c r="D10" s="23" t="s">
        <v>127</v>
      </c>
    </row>
    <row r="11" customFormat="false" ht="15" hidden="false" customHeight="true" outlineLevel="0" collapsed="false">
      <c r="A11" s="1" t="s">
        <v>139</v>
      </c>
      <c r="B11" s="1" t="s">
        <v>126</v>
      </c>
      <c r="C11" s="1" t="n">
        <v>6.5</v>
      </c>
      <c r="D11" s="23" t="s">
        <v>127</v>
      </c>
    </row>
    <row r="12" customFormat="false" ht="15" hidden="false" customHeight="true" outlineLevel="0" collapsed="false">
      <c r="A12" s="1" t="s">
        <v>140</v>
      </c>
      <c r="B12" s="1" t="s">
        <v>126</v>
      </c>
      <c r="C12" s="1" t="n">
        <v>6.7</v>
      </c>
      <c r="D12" s="23" t="s">
        <v>127</v>
      </c>
    </row>
    <row r="13" customFormat="false" ht="15" hidden="false" customHeight="true" outlineLevel="0" collapsed="false">
      <c r="A13" s="1" t="s">
        <v>141</v>
      </c>
      <c r="B13" s="1" t="s">
        <v>126</v>
      </c>
      <c r="C13" s="1" t="n">
        <v>6.2</v>
      </c>
      <c r="D13" s="23" t="s">
        <v>127</v>
      </c>
    </row>
    <row r="14" customFormat="false" ht="15" hidden="false" customHeight="true" outlineLevel="0" collapsed="false">
      <c r="A14" s="1" t="s">
        <v>142</v>
      </c>
      <c r="B14" s="1" t="s">
        <v>126</v>
      </c>
      <c r="C14" s="1" t="n">
        <v>6.8</v>
      </c>
      <c r="D14" s="23" t="s">
        <v>127</v>
      </c>
    </row>
    <row r="15" customFormat="false" ht="15" hidden="false" customHeight="true" outlineLevel="0" collapsed="false">
      <c r="A15" s="1" t="s">
        <v>143</v>
      </c>
      <c r="B15" s="1" t="s">
        <v>126</v>
      </c>
      <c r="C15" s="1" t="n">
        <v>7.9</v>
      </c>
      <c r="D15" s="23" t="s">
        <v>127</v>
      </c>
    </row>
    <row r="16" customFormat="false" ht="15" hidden="false" customHeight="true" outlineLevel="0" collapsed="false">
      <c r="A16" s="1" t="s">
        <v>144</v>
      </c>
      <c r="B16" s="1" t="s">
        <v>126</v>
      </c>
      <c r="C16" s="1" t="n">
        <v>7.5</v>
      </c>
      <c r="D16" s="23" t="s">
        <v>127</v>
      </c>
    </row>
    <row r="17" customFormat="false" ht="15" hidden="false" customHeight="true" outlineLevel="0" collapsed="false">
      <c r="A17" s="1" t="s">
        <v>145</v>
      </c>
      <c r="B17" s="1" t="s">
        <v>126</v>
      </c>
      <c r="C17" s="1" t="n">
        <v>8.5</v>
      </c>
      <c r="D17" s="23" t="s">
        <v>127</v>
      </c>
    </row>
    <row r="18" customFormat="false" ht="15" hidden="false" customHeight="true" outlineLevel="0" collapsed="false">
      <c r="A18" s="1" t="s">
        <v>146</v>
      </c>
      <c r="B18" s="1" t="s">
        <v>126</v>
      </c>
      <c r="C18" s="1" t="n">
        <v>6.5</v>
      </c>
      <c r="D18" s="23" t="s">
        <v>127</v>
      </c>
    </row>
    <row r="19" customFormat="false" ht="15" hidden="false" customHeight="true" outlineLevel="0" collapsed="false">
      <c r="A19" s="1" t="s">
        <v>147</v>
      </c>
      <c r="B19" s="1" t="s">
        <v>126</v>
      </c>
      <c r="C19" s="1" t="n">
        <v>8.5</v>
      </c>
      <c r="D19" s="23" t="s">
        <v>127</v>
      </c>
    </row>
    <row r="20" customFormat="false" ht="15" hidden="false" customHeight="true" outlineLevel="0" collapsed="false">
      <c r="A20" s="1" t="s">
        <v>148</v>
      </c>
      <c r="B20" s="1" t="s">
        <v>132</v>
      </c>
      <c r="C20" s="1" t="n">
        <v>15</v>
      </c>
      <c r="D20" s="23" t="s">
        <v>133</v>
      </c>
    </row>
    <row r="21" customFormat="false" ht="15" hidden="false" customHeight="true" outlineLevel="0" collapsed="false">
      <c r="A21" s="1" t="s">
        <v>149</v>
      </c>
      <c r="B21" s="1" t="s">
        <v>132</v>
      </c>
      <c r="C21" s="1" t="n">
        <v>16</v>
      </c>
      <c r="D21" s="23" t="s">
        <v>133</v>
      </c>
    </row>
    <row r="22" customFormat="false" ht="15" hidden="false" customHeight="true" outlineLevel="0" collapsed="false">
      <c r="A22" s="1" t="s">
        <v>150</v>
      </c>
      <c r="B22" s="1" t="s">
        <v>132</v>
      </c>
      <c r="C22" s="1" t="n">
        <v>17</v>
      </c>
      <c r="D22" s="23" t="s">
        <v>133</v>
      </c>
    </row>
    <row r="23" customFormat="false" ht="15" hidden="false" customHeight="true" outlineLevel="0" collapsed="false">
      <c r="A23" s="1" t="s">
        <v>151</v>
      </c>
      <c r="B23" s="1" t="s">
        <v>132</v>
      </c>
      <c r="C23" s="1" t="n">
        <v>16.5</v>
      </c>
      <c r="D23" s="23" t="s">
        <v>133</v>
      </c>
    </row>
    <row r="24" customFormat="false" ht="15" hidden="false" customHeight="true" outlineLevel="0" collapsed="false">
      <c r="A24" s="1" t="s">
        <v>152</v>
      </c>
      <c r="B24" s="1" t="s">
        <v>132</v>
      </c>
      <c r="C24" s="1" t="n">
        <v>15.5</v>
      </c>
      <c r="D24" s="23" t="s">
        <v>133</v>
      </c>
    </row>
    <row r="25" customFormat="false" ht="15" hidden="false" customHeight="true" outlineLevel="0" collapsed="false">
      <c r="A25" s="1" t="s">
        <v>153</v>
      </c>
      <c r="B25" s="1" t="s">
        <v>132</v>
      </c>
      <c r="C25" s="1" t="n">
        <v>17.5</v>
      </c>
      <c r="D25" s="23" t="s">
        <v>133</v>
      </c>
    </row>
    <row r="26" customFormat="false" ht="15" hidden="false" customHeight="true" outlineLevel="0" collapsed="false">
      <c r="A26" s="1" t="s">
        <v>154</v>
      </c>
      <c r="B26" s="1" t="s">
        <v>132</v>
      </c>
      <c r="C26" s="1" t="n">
        <v>18</v>
      </c>
      <c r="D26" s="23" t="s">
        <v>133</v>
      </c>
    </row>
    <row r="27" customFormat="false" ht="15" hidden="false" customHeight="true" outlineLevel="0" collapsed="false">
      <c r="A27" s="1" t="s">
        <v>155</v>
      </c>
      <c r="B27" s="1" t="s">
        <v>132</v>
      </c>
      <c r="C27" s="1" t="n">
        <v>21</v>
      </c>
      <c r="D27" s="23" t="s">
        <v>133</v>
      </c>
    </row>
    <row r="28" customFormat="false" ht="15" hidden="false" customHeight="true" outlineLevel="0" collapsed="false">
      <c r="A28" s="1" t="s">
        <v>156</v>
      </c>
      <c r="B28" s="1" t="s">
        <v>132</v>
      </c>
      <c r="C28" s="1" t="n">
        <v>23</v>
      </c>
      <c r="D28" s="23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4" min="4" style="1" width="46"/>
    <col collapsed="false" customWidth="true" hidden="false" outlineLevel="0" max="5" min="5" style="1" width="14"/>
    <col collapsed="false" customWidth="true" hidden="false" outlineLevel="0" max="6" min="6" style="0" width="16"/>
  </cols>
  <sheetData>
    <row r="1" customFormat="false" ht="15" hidden="false" customHeight="true" outlineLevel="0" collapsed="false">
      <c r="A1" s="22" t="s">
        <v>157</v>
      </c>
      <c r="B1" s="22" t="s">
        <v>158</v>
      </c>
      <c r="C1" s="22" t="s">
        <v>125</v>
      </c>
      <c r="D1" s="24" t="s">
        <v>159</v>
      </c>
      <c r="E1" s="22" t="s">
        <v>160</v>
      </c>
      <c r="F1" s="25" t="s">
        <v>161</v>
      </c>
    </row>
    <row r="2" customFormat="false" ht="15" hidden="false" customHeight="true" outlineLevel="0" collapsed="false">
      <c r="A2" s="1" t="s">
        <v>14</v>
      </c>
      <c r="B2" s="1" t="n">
        <v>1.99</v>
      </c>
      <c r="C2" s="23" t="s">
        <v>162</v>
      </c>
      <c r="D2" s="24" t="s">
        <v>163</v>
      </c>
      <c r="E2" s="1" t="s">
        <v>164</v>
      </c>
      <c r="F2" s="26" t="n">
        <v>4.02</v>
      </c>
    </row>
    <row r="3" customFormat="false" ht="15" hidden="false" customHeight="true" outlineLevel="0" collapsed="false">
      <c r="A3" s="1" t="s">
        <v>165</v>
      </c>
      <c r="B3" s="1" t="n">
        <v>4.5</v>
      </c>
      <c r="C3" s="23" t="s">
        <v>162</v>
      </c>
      <c r="D3" s="24" t="s">
        <v>163</v>
      </c>
      <c r="E3" s="1" t="s">
        <v>164</v>
      </c>
      <c r="F3" s="26" t="n">
        <v>4.5</v>
      </c>
    </row>
    <row r="4" customFormat="false" ht="15" hidden="false" customHeight="true" outlineLevel="0" collapsed="false">
      <c r="A4" s="1" t="s">
        <v>166</v>
      </c>
      <c r="B4" s="1" t="n">
        <v>4.92</v>
      </c>
      <c r="C4" s="23" t="s">
        <v>162</v>
      </c>
      <c r="D4" s="24" t="s">
        <v>163</v>
      </c>
      <c r="E4" s="1" t="s">
        <v>164</v>
      </c>
      <c r="F4" s="26" t="n">
        <v>4.92</v>
      </c>
    </row>
    <row r="5" customFormat="false" ht="15" hidden="false" customHeight="true" outlineLevel="0" collapsed="false">
      <c r="A5" s="1" t="s">
        <v>167</v>
      </c>
      <c r="B5" s="1" t="n">
        <v>0.5</v>
      </c>
      <c r="C5" s="23" t="s">
        <v>168</v>
      </c>
      <c r="D5" s="24" t="s">
        <v>169</v>
      </c>
      <c r="E5" s="1" t="s">
        <v>170</v>
      </c>
      <c r="F5" s="26" t="n">
        <v>0.5</v>
      </c>
    </row>
    <row r="6" customFormat="false" ht="41.25" hidden="false" customHeight="true" outlineLevel="0" collapsed="false">
      <c r="A6" s="1" t="s">
        <v>171</v>
      </c>
      <c r="B6" s="1" t="n">
        <v>1.1</v>
      </c>
      <c r="C6" s="23" t="s">
        <v>168</v>
      </c>
      <c r="D6" s="24" t="s">
        <v>172</v>
      </c>
      <c r="E6" s="1" t="s">
        <v>170</v>
      </c>
      <c r="F6" s="26" t="n">
        <v>1.1</v>
      </c>
    </row>
    <row r="7" customFormat="false" ht="27.75" hidden="false" customHeight="true" outlineLevel="0" collapsed="false">
      <c r="A7" s="1" t="s">
        <v>173</v>
      </c>
      <c r="B7" s="1" t="n">
        <v>1.5</v>
      </c>
      <c r="C7" s="23" t="s">
        <v>168</v>
      </c>
      <c r="D7" s="24" t="s">
        <v>174</v>
      </c>
      <c r="E7" s="1" t="s">
        <v>170</v>
      </c>
      <c r="F7" s="26" t="n">
        <v>1.5</v>
      </c>
    </row>
    <row r="9" customFormat="false" ht="45" hidden="false" customHeight="true" outlineLevel="0" collapsed="false">
      <c r="A9" s="27" t="s">
        <v>175</v>
      </c>
      <c r="B9" s="27"/>
      <c r="C9" s="27"/>
      <c r="D9" s="27"/>
      <c r="E9" s="27"/>
    </row>
  </sheetData>
  <mergeCells count="1">
    <mergeCell ref="A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2026-09-09T08:29:38Z</dcterms:created>
  <dc:creator>openpyxl</dc:creator>
  <dc:description/>
  <dc:language>en-US</dc:language>
  <cp:lastModifiedBy/>
  <dcterms:modified xsi:type="dcterms:W3CDTF">2026-09-10T00:51:05Z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