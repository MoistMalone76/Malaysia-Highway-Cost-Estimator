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oll Data" sheetId="2" state="visible" r:id="rId4"/>
    <sheet name="Vehicles" sheetId="3" state="visible" r:id="rId5"/>
    <sheet name="Fuels" sheetId="4" state="visible" r:id="rId6"/>
    <sheet name="Rest Areas" sheetId="5" state="visible" r:id="rId7"/>
  </sheets>
  <definedNames>
    <definedName function="false" hidden="true" localSheetId="4" name="_xlnm._FilterDatabase" vbProcedure="false">'Rest Areas'!$A$1:$I$69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<sst xmlns="http://schemas.openxmlformats.org/spreadsheetml/2006/main" count="827" uniqueCount="295">
  <si>
    <t xml:space="preserve">MALAYSIAN HIGHWAY TRIP COST ESTIMATOR</t>
  </si>
  <si>
    <t xml:space="preserve"> 📍 ROUTE DETAILS</t>
  </si>
  <si>
    <t xml:space="preserve"> Entry Toll Plaza:</t>
  </si>
  <si>
    <t xml:space="preserve">Jitra</t>
  </si>
  <si>
    <t xml:space="preserve"> Exit Toll Plaza:</t>
  </si>
  <si>
    <t xml:space="preserve">Skudai</t>
  </si>
  <si>
    <t xml:space="preserve"> Estimated Distance:</t>
  </si>
  <si>
    <t xml:space="preserve"> km</t>
  </si>
  <si>
    <t xml:space="preserve"> Estimated Toll Cost:</t>
  </si>
  <si>
    <t xml:space="preserve"> RM</t>
  </si>
  <si>
    <t xml:space="preserve"> 🚗 VEHICLE &amp; FUEL/ENERGY</t>
  </si>
  <si>
    <t xml:space="preserve"> Vehicle Type &amp; Model:</t>
  </si>
  <si>
    <t xml:space="preserve">Nissan Almera N17 1.5 (ICE Sedan)</t>
  </si>
  <si>
    <t xml:space="preserve"> Fuel/Charging Type:</t>
  </si>
  <si>
    <t xml:space="preserve">RON95 Petrol (Subsidised)</t>
  </si>
  <si>
    <t xml:space="preserve"> Avg. Consumption:</t>
  </si>
  <si>
    <t xml:space="preserve"> Rate per Unit (You Pay):</t>
  </si>
  <si>
    <t xml:space="preserve"> Market Value per Unit:</t>
  </si>
  <si>
    <t xml:space="preserve">For EVs: choose an EV charging option; if a petrol/diesel option is left selected, Home Charging is used automatically.</t>
  </si>
  <si>
    <t xml:space="preserve"> 💰 COST SUMMARY</t>
  </si>
  <si>
    <t xml:space="preserve"> Fuel / Home Energy Cost (You Pay):</t>
  </si>
  <si>
    <t xml:space="preserve"> Public EV Charging Cost (You Pay):</t>
  </si>
  <si>
    <t xml:space="preserve"> Government Fuel Subsidy (this trip):</t>
  </si>
  <si>
    <t xml:space="preserve"> Total Fuel Value at Pump (You Pay + Subsidy):</t>
  </si>
  <si>
    <t xml:space="preserve"> TOTAL TRIP COST (You Pay):</t>
  </si>
  <si>
    <t xml:space="preserve"> 🛣️ ROUTE INFO (used by 'Rest Areas' tab)</t>
  </si>
  <si>
    <t xml:space="preserve"> Entry Region:</t>
  </si>
  <si>
    <t xml:space="preserve"> Entry KM:</t>
  </si>
  <si>
    <t xml:space="preserve"> Exit Region:</t>
  </si>
  <si>
    <t xml:space="preserve"> Exit KM:</t>
  </si>
  <si>
    <t xml:space="preserve"> 🍽️ REST AREAS &amp; AMENITIES ON THIS ROUTE</t>
  </si>
  <si>
    <t xml:space="preserve"> Rest Areas Matching Your Route:</t>
  </si>
  <si>
    <t xml:space="preserve"> stops</t>
  </si>
  <si>
    <t xml:space="preserve">  → Open the "Rest Areas" tab. Column I ("On Your Route?") is TRUE for every stop on your current route, in your direction of travel only -- filter or sort by it to see each stop's direction, petrol brand and food/cafe options.</t>
  </si>
  <si>
    <t xml:space="preserve">*Disclaimer: Toll is estimated from the route distance and current modelled tariff rate. EV energy cost uses current Malaysia benchmark assumptions: ~RM0.50/kWh home charging, ~RM1.10/kWh public AC, and ~RM1.50/kWh public DC. RON95 subsidy uses the BUDI95 rate vs the unsubsidised market rate published by MOF; Government Fuel Subsidy assumes you are BUDI95/BUDI-Diesel eligible and within your monthly litre quota. Actual operator/TNB rates vary by tariff, site and time. Rest area listings show the direction of travel, petrol brand and general food/cafe offering for that specific carriageway only -- never the opposite side of the highway, and never a stop on a highway your route doesn't use. Amenities are representative of publicly documented PLUS/LLM facilities; individual tenants change over time, so treat this as a planning guide and confirm signage on the day.</t>
  </si>
  <si>
    <t xml:space="preserve">Toll Plaza Name</t>
  </si>
  <si>
    <t xml:space="preserve">Region</t>
  </si>
  <si>
    <t xml:space="preserve">Distance from KL (km)</t>
  </si>
  <si>
    <t xml:space="preserve">Bukit Kayu Hitam</t>
  </si>
  <si>
    <t xml:space="preserve">North</t>
  </si>
  <si>
    <t xml:space="preserve">Alor Setar Utara</t>
  </si>
  <si>
    <t xml:space="preserve">Alor Setar Selatan</t>
  </si>
  <si>
    <t xml:space="preserve">Pendang</t>
  </si>
  <si>
    <t xml:space="preserve">Gurun</t>
  </si>
  <si>
    <t xml:space="preserve">Sungai Petani Utara</t>
  </si>
  <si>
    <t xml:space="preserve">Sungai Petani Selatan</t>
  </si>
  <si>
    <t xml:space="preserve">Bertam</t>
  </si>
  <si>
    <t xml:space="preserve">Sungai Dua</t>
  </si>
  <si>
    <t xml:space="preserve">Juru</t>
  </si>
  <si>
    <t xml:space="preserve">Batu Kawan</t>
  </si>
  <si>
    <t xml:space="preserve">Bandar Cassia</t>
  </si>
  <si>
    <t xml:space="preserve">Jawi</t>
  </si>
  <si>
    <t xml:space="preserve">Bandar Baharu</t>
  </si>
  <si>
    <t xml:space="preserve">Alor Pongsu</t>
  </si>
  <si>
    <t xml:space="preserve">Bukit Merah</t>
  </si>
  <si>
    <t xml:space="preserve">Taiping Utara (Kamunting)</t>
  </si>
  <si>
    <t xml:space="preserve">Changkat Jering</t>
  </si>
  <si>
    <t xml:space="preserve">Kuala Kangsar</t>
  </si>
  <si>
    <t xml:space="preserve">Ipoh Utara</t>
  </si>
  <si>
    <t xml:space="preserve">Ipoh Selatan</t>
  </si>
  <si>
    <t xml:space="preserve">Simpang Pulai</t>
  </si>
  <si>
    <t xml:space="preserve">Gopeng</t>
  </si>
  <si>
    <t xml:space="preserve">Tapah</t>
  </si>
  <si>
    <t xml:space="preserve">Bidor</t>
  </si>
  <si>
    <t xml:space="preserve">Sungkai</t>
  </si>
  <si>
    <t xml:space="preserve">Slim River</t>
  </si>
  <si>
    <t xml:space="preserve">Behrang</t>
  </si>
  <si>
    <t xml:space="preserve">Tanjung Malim</t>
  </si>
  <si>
    <t xml:space="preserve">Lembah Beringin</t>
  </si>
  <si>
    <t xml:space="preserve">Bukit Tagar</t>
  </si>
  <si>
    <t xml:space="preserve">Rawang</t>
  </si>
  <si>
    <t xml:space="preserve">Sungai Buloh</t>
  </si>
  <si>
    <t xml:space="preserve">Jalan Duta</t>
  </si>
  <si>
    <t xml:space="preserve">Central</t>
  </si>
  <si>
    <t xml:space="preserve">Damansara</t>
  </si>
  <si>
    <t xml:space="preserve">Subang</t>
  </si>
  <si>
    <t xml:space="preserve">Shah Alam</t>
  </si>
  <si>
    <t xml:space="preserve">Seafield</t>
  </si>
  <si>
    <t xml:space="preserve">USJ</t>
  </si>
  <si>
    <t xml:space="preserve">Putra Heights</t>
  </si>
  <si>
    <t xml:space="preserve">Bandar Saujana Putra</t>
  </si>
  <si>
    <t xml:space="preserve">KLIA</t>
  </si>
  <si>
    <t xml:space="preserve">Nilai Utara</t>
  </si>
  <si>
    <t xml:space="preserve">Sungai Besi</t>
  </si>
  <si>
    <t xml:space="preserve">South</t>
  </si>
  <si>
    <t xml:space="preserve">UPM</t>
  </si>
  <si>
    <t xml:space="preserve">Kajang</t>
  </si>
  <si>
    <t xml:space="preserve">Bangi</t>
  </si>
  <si>
    <t xml:space="preserve">Putra Mahkota</t>
  </si>
  <si>
    <t xml:space="preserve">Nilai</t>
  </si>
  <si>
    <t xml:space="preserve">Seremban</t>
  </si>
  <si>
    <t xml:space="preserve">Port Dickson</t>
  </si>
  <si>
    <t xml:space="preserve">Senawang</t>
  </si>
  <si>
    <t xml:space="preserve">Pedas Linggi</t>
  </si>
  <si>
    <t xml:space="preserve">Simpang Ampat</t>
  </si>
  <si>
    <t xml:space="preserve">Ayer Keroh</t>
  </si>
  <si>
    <t xml:space="preserve">Jasin</t>
  </si>
  <si>
    <t xml:space="preserve">Tangkak</t>
  </si>
  <si>
    <t xml:space="preserve">Pagoh</t>
  </si>
  <si>
    <t xml:space="preserve">Yong Peng Utara</t>
  </si>
  <si>
    <t xml:space="preserve">Yong Peng Selatan</t>
  </si>
  <si>
    <t xml:space="preserve">Ayer Hitam</t>
  </si>
  <si>
    <t xml:space="preserve">Machap</t>
  </si>
  <si>
    <t xml:space="preserve">Simpang Renggam</t>
  </si>
  <si>
    <t xml:space="preserve">Sedenak</t>
  </si>
  <si>
    <t xml:space="preserve">Kulai</t>
  </si>
  <si>
    <t xml:space="preserve">Kempas</t>
  </si>
  <si>
    <t xml:space="preserve">Johor Bahru (BSI)</t>
  </si>
  <si>
    <t xml:space="preserve">Gombak</t>
  </si>
  <si>
    <t xml:space="preserve">East</t>
  </si>
  <si>
    <t xml:space="preserve">Bentong</t>
  </si>
  <si>
    <t xml:space="preserve">Karak</t>
  </si>
  <si>
    <t xml:space="preserve">Lanchang</t>
  </si>
  <si>
    <t xml:space="preserve">Mentakab</t>
  </si>
  <si>
    <t xml:space="preserve">Temerloh</t>
  </si>
  <si>
    <t xml:space="preserve">Chenor</t>
  </si>
  <si>
    <t xml:space="preserve">Maran</t>
  </si>
  <si>
    <t xml:space="preserve">Sri Jaya</t>
  </si>
  <si>
    <t xml:space="preserve">Gambang</t>
  </si>
  <si>
    <t xml:space="preserve">Kuantan</t>
  </si>
  <si>
    <t xml:space="preserve">Jabor</t>
  </si>
  <si>
    <t xml:space="preserve">Cheneh</t>
  </si>
  <si>
    <t xml:space="preserve">Chukai</t>
  </si>
  <si>
    <t xml:space="preserve">Kijal</t>
  </si>
  <si>
    <t xml:space="preserve">Kerteh</t>
  </si>
  <si>
    <t xml:space="preserve">Paka</t>
  </si>
  <si>
    <t xml:space="preserve">Dungun</t>
  </si>
  <si>
    <t xml:space="preserve">Iron</t>
  </si>
  <si>
    <t xml:space="preserve">Ajil</t>
  </si>
  <si>
    <t xml:space="preserve">Telemong</t>
  </si>
  <si>
    <t xml:space="preserve">Kuala Terengganu</t>
  </si>
  <si>
    <t xml:space="preserve">Vehicle Type &amp; Model</t>
  </si>
  <si>
    <t xml:space="preserve">Engine/Motor</t>
  </si>
  <si>
    <t xml:space="preserve">Consumption Rate</t>
  </si>
  <si>
    <t xml:space="preserve">Unit</t>
  </si>
  <si>
    <t xml:space="preserve">ICE</t>
  </si>
  <si>
    <t xml:space="preserve">L/100km</t>
  </si>
  <si>
    <t xml:space="preserve">Nissan Almera 1.0 Turbo (ICE Sedan)</t>
  </si>
  <si>
    <t xml:space="preserve">Nissan Serena S-Hybrid (ICE MPV)</t>
  </si>
  <si>
    <t xml:space="preserve">Nissan Navara 2.5 (ICE Diesel Pickup)</t>
  </si>
  <si>
    <t xml:space="preserve">Nissan Leaf 40kWh (EV Hatchback)</t>
  </si>
  <si>
    <t xml:space="preserve">EV</t>
  </si>
  <si>
    <t xml:space="preserve">kWh/100km</t>
  </si>
  <si>
    <t xml:space="preserve">Nissan Kicks e-Power (Hybrid SUV)</t>
  </si>
  <si>
    <t xml:space="preserve">Hybrid</t>
  </si>
  <si>
    <t xml:space="preserve">Perodua Axia (ICE Hatchback)</t>
  </si>
  <si>
    <t xml:space="preserve">Perodua Myvi 1.5 (ICE Hatchback)</t>
  </si>
  <si>
    <t xml:space="preserve">Proton Iriz (ICE Hatchback)</t>
  </si>
  <si>
    <t xml:space="preserve">Honda City 1.5 (ICE Sedan)</t>
  </si>
  <si>
    <t xml:space="preserve">Proton Saga (ICE Sedan)</t>
  </si>
  <si>
    <t xml:space="preserve">Toyota Vios (ICE Sedan)</t>
  </si>
  <si>
    <t xml:space="preserve">Honda Civic 1.5T (ICE Sedan)</t>
  </si>
  <si>
    <t xml:space="preserve">Proton X50 (ICE Compact SUV)</t>
  </si>
  <si>
    <t xml:space="preserve">Honda HR-V (ICE Compact SUV)</t>
  </si>
  <si>
    <t xml:space="preserve">Proton X70 (ICE Mid SUV)</t>
  </si>
  <si>
    <t xml:space="preserve">Perodua Alza (ICE MPV)</t>
  </si>
  <si>
    <t xml:space="preserve">Toyota Hilux (ICE Diesel Pickup)</t>
  </si>
  <si>
    <t xml:space="preserve">BYD Dolphin (EV Hatchback)</t>
  </si>
  <si>
    <t xml:space="preserve">GWM Ora Good Cat (EV Hatchback)</t>
  </si>
  <si>
    <t xml:space="preserve">BYD Atto 3 (EV SUV)</t>
  </si>
  <si>
    <t xml:space="preserve">Chery Omoda E5 (EV SUV)</t>
  </si>
  <si>
    <t xml:space="preserve">Tesla Model 3 (EV Sedan)</t>
  </si>
  <si>
    <t xml:space="preserve">Tesla Model Y (EV SUV)</t>
  </si>
  <si>
    <t xml:space="preserve">Hyundai Ioniq 5 (EV SUV)</t>
  </si>
  <si>
    <t xml:space="preserve">BMW iX (EV Large SUV)</t>
  </si>
  <si>
    <t xml:space="preserve">Porsche Taycan (EV Sports Sedan)</t>
  </si>
  <si>
    <t xml:space="preserve">Fuel / Charging Type</t>
  </si>
  <si>
    <t xml:space="preserve">Price (RM)</t>
  </si>
  <si>
    <t xml:space="preserve">Source</t>
  </si>
  <si>
    <t xml:space="preserve">Last Updated</t>
  </si>
  <si>
    <t xml:space="preserve">Market Value (RM)</t>
  </si>
  <si>
    <t xml:space="preserve">RM/L</t>
  </si>
  <si>
    <t xml:space="preserve">https://data.gov.my/data-catalogue/fuelprice</t>
  </si>
  <si>
    <t xml:space="preserve">2026-09-10</t>
  </si>
  <si>
    <t xml:space="preserve">RON97 Petrol (Premium)</t>
  </si>
  <si>
    <t xml:space="preserve">Diesel (Peninsular Malaysia)</t>
  </si>
  <si>
    <t xml:space="preserve">EV Home Charging (TNB Domestic ~0.50/kWh)</t>
  </si>
  <si>
    <t xml:space="preserve">RM/kWh</t>
  </si>
  <si>
    <t xml:space="preserve">https://www.tnb.com.my/</t>
  </si>
  <si>
    <t xml:space="preserve">manual</t>
  </si>
  <si>
    <t xml:space="preserve">EV Public Charging (AC ~1.10/kWh)</t>
  </si>
  <si>
    <t xml:space="preserve">https://soyacincau.com/2026/07/28/tesla-destination-chargers-no-longer-free-rm0-88-per-kwh-rate-malaysia/</t>
  </si>
  <si>
    <t xml:space="preserve">EV Public Charging (DC ~1.50/kWh)</t>
  </si>
  <si>
    <t xml:space="preserve">https://soyacincau.com/2026/07/15/gentari-dc-charging-fee-price-cut-select-locations/</t>
  </si>
  <si>
    <t xml:space="preserve">Fuel prices (rows 2-4) are refreshed from data.gov.my — the Ministry of Finance's official weekly open dataset (CC BY 4.0), announced every Wednesday. Column F is the unsubsidised market value of the same litre/kWh: for RON95 (Subsidised) this is what the government tops up on your behalf; for RON97, Diesel and EV rows there's no subsidy, so it matches column B. Run update_fuel_prices.py to pull the current week's rates at any time, or schedule it for hands-off updates; see README_fuel_price_automation.md. EV and toll rates have no public live feed and must be checked and updated by hand.</t>
  </si>
  <si>
    <t xml:space="preserve">Rest Area / Layby Name</t>
  </si>
  <si>
    <t xml:space="preserve">Highway Region</t>
  </si>
  <si>
    <t xml:space="preserve">KM (from KL, same scale as Toll Data)</t>
  </si>
  <si>
    <t xml:space="preserve">Direction (raw)</t>
  </si>
  <si>
    <t xml:space="preserve">Direction (display)</t>
  </si>
  <si>
    <t xml:space="preserve">Type</t>
  </si>
  <si>
    <t xml:space="preserve">Petrol Brand(s)</t>
  </si>
  <si>
    <t xml:space="preserve">Food &amp; Cafe Options</t>
  </si>
  <si>
    <t xml:space="preserve">On Your Route?</t>
  </si>
  <si>
    <t xml:space="preserve">Bukit Kayu Hitam R&amp;R</t>
  </si>
  <si>
    <t xml:space="preserve">Away from KL</t>
  </si>
  <si>
    <t xml:space="preserve">Northbound</t>
  </si>
  <si>
    <t xml:space="preserve">R&amp;R</t>
  </si>
  <si>
    <t xml:space="preserve">Petronas, Shell</t>
  </si>
  <si>
    <t xml:space="preserve">Duty-free mall, McDonald's, Old Town White Coffee, KK Mart</t>
  </si>
  <si>
    <t xml:space="preserve">Towards KL</t>
  </si>
  <si>
    <t xml:space="preserve">Southbound</t>
  </si>
  <si>
    <t xml:space="preserve">Jitra Layby</t>
  </si>
  <si>
    <t xml:space="preserve">Kawasan Rehat (Layby)</t>
  </si>
  <si>
    <t xml:space="preserve">Petron</t>
  </si>
  <si>
    <t xml:space="preserve">Convenience store, nasi kandar stall</t>
  </si>
  <si>
    <t xml:space="preserve">Gurun Layby</t>
  </si>
  <si>
    <t xml:space="preserve">Shell</t>
  </si>
  <si>
    <t xml:space="preserve">Convenience store, burger stall</t>
  </si>
  <si>
    <t xml:space="preserve">Sungai Petani R&amp;R</t>
  </si>
  <si>
    <t xml:space="preserve">Petronas</t>
  </si>
  <si>
    <t xml:space="preserve">KFC, nasi lemak stalls, Family Mart</t>
  </si>
  <si>
    <t xml:space="preserve">Caltex</t>
  </si>
  <si>
    <t xml:space="preserve">Mini mart, Pizza Hut Express, food court</t>
  </si>
  <si>
    <t xml:space="preserve">Juru R&amp;R</t>
  </si>
  <si>
    <t xml:space="preserve">Petronas, Caltex</t>
  </si>
  <si>
    <t xml:space="preserve">McDonald's, Old Town White Coffee, mini mart</t>
  </si>
  <si>
    <t xml:space="preserve">KFC, Dunkin', mini mart</t>
  </si>
  <si>
    <t xml:space="preserve">Bukit Tambun Layby</t>
  </si>
  <si>
    <t xml:space="preserve">Convenience store, satay stall</t>
  </si>
  <si>
    <t xml:space="preserve">Alor Pongsu R&amp;R</t>
  </si>
  <si>
    <t xml:space="preserve">Nasi campur food court, Old Town White Coffee</t>
  </si>
  <si>
    <t xml:space="preserve">Nasi campur food court, mini mart</t>
  </si>
  <si>
    <t xml:space="preserve">Bukit Merah R&amp;R</t>
  </si>
  <si>
    <t xml:space="preserve">McDonald's, mini mart, surau</t>
  </si>
  <si>
    <t xml:space="preserve">Marrybrown, mini mart, surau</t>
  </si>
  <si>
    <t xml:space="preserve">Kuala Kangsar (Sungai Perak) R&amp;R</t>
  </si>
  <si>
    <t xml:space="preserve">Food court, McDonald's, KK Mart</t>
  </si>
  <si>
    <t xml:space="preserve">Caltex, Petronas</t>
  </si>
  <si>
    <t xml:space="preserve">A&amp;W, mini mart</t>
  </si>
  <si>
    <t xml:space="preserve">Simpang Pulai Layby</t>
  </si>
  <si>
    <t xml:space="preserve">Convenience store, coffee stall</t>
  </si>
  <si>
    <t xml:space="preserve">Gopeng R&amp;R</t>
  </si>
  <si>
    <t xml:space="preserve">Nasi lemak stalls, mini mart</t>
  </si>
  <si>
    <t xml:space="preserve">KFC, Old Town White Coffee, mini mart</t>
  </si>
  <si>
    <t xml:space="preserve">Tapah R&amp;R</t>
  </si>
  <si>
    <t xml:space="preserve">McDonald's, Dunkin', food court</t>
  </si>
  <si>
    <t xml:space="preserve">Secret Recipe, KFC, mini mart</t>
  </si>
  <si>
    <t xml:space="preserve">Sungai Perak (Bidor) R&amp;R</t>
  </si>
  <si>
    <t xml:space="preserve">Sungkai Layby</t>
  </si>
  <si>
    <t xml:space="preserve">Convenience store, fruit stalls</t>
  </si>
  <si>
    <t xml:space="preserve">Behrang Layby</t>
  </si>
  <si>
    <t xml:space="preserve">Tanjung Malim Layby</t>
  </si>
  <si>
    <t xml:space="preserve">Ulu Bernam R&amp;R</t>
  </si>
  <si>
    <t xml:space="preserve">Food court, McDonald's, mini mart</t>
  </si>
  <si>
    <t xml:space="preserve">Rawang R&amp;R</t>
  </si>
  <si>
    <t xml:space="preserve">KFC, Old Town White Coffee, Family Mart</t>
  </si>
  <si>
    <t xml:space="preserve">Sungai Buloh Layby</t>
  </si>
  <si>
    <t xml:space="preserve">Convenience store</t>
  </si>
  <si>
    <t xml:space="preserve">Bandar Saujana Putra Layby</t>
  </si>
  <si>
    <t xml:space="preserve">KLIA Rest Point</t>
  </si>
  <si>
    <t xml:space="preserve">Mini mart, fast food kiosk</t>
  </si>
  <si>
    <t xml:space="preserve">Nilai Utara Layby</t>
  </si>
  <si>
    <t xml:space="preserve">Convenience store, nasi lemak stall</t>
  </si>
  <si>
    <t xml:space="preserve">UPM Layby</t>
  </si>
  <si>
    <t xml:space="preserve">Kajang Layby</t>
  </si>
  <si>
    <t xml:space="preserve">Coffee stall, convenience store</t>
  </si>
  <si>
    <t xml:space="preserve">Seremban R&amp;R</t>
  </si>
  <si>
    <t xml:space="preserve">McDonald's, KFC, Old Town White Coffee, mini mart</t>
  </si>
  <si>
    <t xml:space="preserve">Marrybrown, Dunkin', mini mart</t>
  </si>
  <si>
    <t xml:space="preserve">Senawang Layby</t>
  </si>
  <si>
    <t xml:space="preserve">Ayer Keroh R&amp;R</t>
  </si>
  <si>
    <t xml:space="preserve">KFC, Old Town White Coffee, Melaka souvenir stalls</t>
  </si>
  <si>
    <t xml:space="preserve">McDonald's, mini mart, food court</t>
  </si>
  <si>
    <t xml:space="preserve">Jasin R&amp;R</t>
  </si>
  <si>
    <t xml:space="preserve">Pagoh R&amp;R</t>
  </si>
  <si>
    <t xml:space="preserve">Yong Peng Northbound Layby</t>
  </si>
  <si>
    <t xml:space="preserve">Yong Peng Southbound Layby</t>
  </si>
  <si>
    <t xml:space="preserve">Ayer Hitam Layby</t>
  </si>
  <si>
    <t xml:space="preserve">Durian &amp; local produce stalls, mini mart</t>
  </si>
  <si>
    <t xml:space="preserve">Machap R&amp;R</t>
  </si>
  <si>
    <t xml:space="preserve">Food court, KFC, mini mart</t>
  </si>
  <si>
    <t xml:space="preserve">Kulai Layby</t>
  </si>
  <si>
    <t xml:space="preserve">Skudai R&amp;R</t>
  </si>
  <si>
    <t xml:space="preserve">Wide food court, specialty coffee, EV chargers (Tesla, Jomcharge, Shell Recharge, Charge+)</t>
  </si>
  <si>
    <t xml:space="preserve">Fast food, teh tarik stalls, mini mart</t>
  </si>
  <si>
    <t xml:space="preserve">Karak R&amp;R</t>
  </si>
  <si>
    <t xml:space="preserve">Towards East Coast</t>
  </si>
  <si>
    <t xml:space="preserve">Nasi lemak stalls, mini mart, surau</t>
  </si>
  <si>
    <t xml:space="preserve">Shell, Petronas</t>
  </si>
  <si>
    <t xml:space="preserve">McDonald's, food court</t>
  </si>
  <si>
    <t xml:space="preserve">Lanchang Layby</t>
  </si>
  <si>
    <t xml:space="preserve">Temerloh R&amp;R</t>
  </si>
  <si>
    <t xml:space="preserve">Chenor Layby</t>
  </si>
  <si>
    <t xml:space="preserve">Maran R&amp;R</t>
  </si>
  <si>
    <t xml:space="preserve">Gambang R&amp;R</t>
  </si>
  <si>
    <t xml:space="preserve">Chukai Layby</t>
  </si>
  <si>
    <t xml:space="preserve">Convenience store, seafood stalls</t>
  </si>
  <si>
    <t xml:space="preserve">Kerteh R&amp;R</t>
  </si>
  <si>
    <t xml:space="preserve">Food court, mini mart, surau</t>
  </si>
  <si>
    <t xml:space="preserve">Food court, mini mart</t>
  </si>
  <si>
    <t xml:space="preserve">Paka Layby</t>
  </si>
  <si>
    <t xml:space="preserve">Dungun R&amp;R</t>
  </si>
  <si>
    <t xml:space="preserve">Ajil Layby</t>
  </si>
  <si>
    <t xml:space="preserve">Note: Direction is per physical carriageway -- many R&amp;R/Kawasan Rehat facilities sit on only one side of the highway, so a stop only shows 'TRUE' for routes travelling that way; full-service R&amp;Rs are modelled on both carriageways unless documented as single-direction (Rawang R&amp;R is northbound only, Ulu Bernam R&amp;R is southbound only). Some larger R&amp;Rs have more than one petrol brand on site -- these are listed together in the Petrol Brand(s) column, comma-separated. Filter column I to TRUE for your current Dashboard route. Petrol brands and food/cafe tenants are representative of publicly documented PLUS/LLM facilities and change over time -- confirm on-site signage.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</si>
</sst>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General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b val="true"/>
      <sz val="11"/>
      <color rgb="FF334155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F172A"/>
      <name val="Arial"/>
      <family val="0"/>
      <charset val="1"/>
    </font>
    <font>
      <sz val="11"/>
      <color rgb="FF64748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64748B"/>
      <name val="Arial"/>
      <family val="0"/>
      <charset val="1"/>
    </font>
    <font>
      <sz val="11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E2E8F0"/>
        <bgColor rgb="FFF1F5F9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1F5F9"/>
      </patternFill>
    </fill>
    <fill>
      <patternFill patternType="solid">
        <fgColor rgb="FFF1F5F9"/>
        <bgColor rgb="FFF8FAFC"/>
      </patternFill>
    </fill>
    <fill>
      <patternFill patternType="solid">
        <fgColor rgb="FF334155"/>
        <bgColor rgb="FF333399"/>
      </patternFill>
    </fill>
    <fill>
      <patternFill patternType="solid">
        <fgColor rgb="FF16A34A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CFCE7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6A34A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25"/>
    <col collapsed="false" customWidth="true" hidden="false" outlineLevel="0" max="4" min="4" style="1" width="42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2"/>
      <c r="B2" s="2"/>
      <c r="C2" s="3" t="s">
        <v>0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2"/>
      <c r="C3" s="3"/>
      <c r="D3" s="3"/>
      <c r="E3" s="3"/>
      <c r="F3" s="2"/>
      <c r="G3" s="2"/>
    </row>
    <row r="4" customFormat="false" ht="15" hidden="false" customHeight="true" outlineLevel="0" collapsed="false">
      <c r="A4" s="2"/>
      <c r="B4" s="2"/>
      <c r="C4" s="4" t="s">
        <v>1</v>
      </c>
      <c r="D4" s="4"/>
      <c r="E4" s="4"/>
      <c r="F4" s="2"/>
      <c r="G4" s="2"/>
    </row>
    <row r="5" customFormat="false" ht="15" hidden="false" customHeight="true" outlineLevel="0" collapsed="false">
      <c r="A5" s="2"/>
      <c r="B5" s="2"/>
      <c r="C5" s="5" t="s">
        <v>2</v>
      </c>
      <c r="D5" s="6" t="s">
        <v>3</v>
      </c>
      <c r="E5" s="7"/>
      <c r="F5" s="2"/>
      <c r="G5" s="2"/>
    </row>
    <row r="6" customFormat="false" ht="15" hidden="false" customHeight="true" outlineLevel="0" collapsed="false">
      <c r="A6" s="2"/>
      <c r="B6" s="2"/>
      <c r="C6" s="5" t="s">
        <v>4</v>
      </c>
      <c r="D6" s="6" t="s">
        <v>5</v>
      </c>
      <c r="E6" s="7"/>
      <c r="F6" s="2"/>
      <c r="G6" s="2"/>
    </row>
    <row r="7" customFormat="false" ht="15" hidden="false" customHeight="true" outlineLevel="0" collapsed="false">
      <c r="A7" s="2"/>
      <c r="B7" s="2"/>
      <c r="C7" s="5" t="s">
        <v>6</v>
      </c>
      <c r="D7" s="8" t="n">
        <f aca="false">IFERROR(IF(OR(D5="",D6=""), 0, IF(VLOOKUP(D5,'Toll Data'!$A:$C,2,FALSE())=VLOOKUP(D6,'Toll Data'!$A:$C,2,FALSE()), ABS(VLOOKUP(D5,'Toll Data'!$A:$C,3,FALSE())-VLOOKUP(D6,'Toll Data'!$A:$C,3,FALSE())), VLOOKUP(D5,'Toll Data'!$A:$C,3,FALSE())+VLOOKUP(D6,'Toll Data'!$A:$C,3,FALSE())+15)), 0)</f>
        <v>795</v>
      </c>
      <c r="E7" s="9" t="s">
        <v>7</v>
      </c>
      <c r="F7" s="2"/>
      <c r="G7" s="2"/>
    </row>
    <row r="8" customFormat="false" ht="15" hidden="false" customHeight="true" outlineLevel="0" collapsed="false">
      <c r="A8" s="2"/>
      <c r="B8" s="2"/>
      <c r="C8" s="5" t="s">
        <v>8</v>
      </c>
      <c r="D8" s="10" t="n">
        <f aca="false">IFERROR(IF(D7=0, 0, D7*0.1088), 0)</f>
        <v>86.496</v>
      </c>
      <c r="E8" s="9" t="s">
        <v>9</v>
      </c>
      <c r="F8" s="2"/>
      <c r="G8" s="2"/>
    </row>
    <row r="9" customFormat="false" ht="15" hidden="false" customHeight="true" outlineLevel="0" collapsed="false">
      <c r="A9" s="2"/>
      <c r="B9" s="2"/>
      <c r="C9" s="7"/>
      <c r="D9" s="7"/>
      <c r="E9" s="7"/>
      <c r="F9" s="2"/>
      <c r="G9" s="2"/>
    </row>
    <row r="10" customFormat="false" ht="15" hidden="false" customHeight="true" outlineLevel="0" collapsed="false">
      <c r="A10" s="2"/>
      <c r="B10" s="2"/>
      <c r="C10" s="4" t="s">
        <v>10</v>
      </c>
      <c r="D10" s="4"/>
      <c r="E10" s="4"/>
      <c r="F10" s="2"/>
      <c r="G10" s="2"/>
    </row>
    <row r="11" customFormat="false" ht="15" hidden="false" customHeight="true" outlineLevel="0" collapsed="false">
      <c r="A11" s="2"/>
      <c r="B11" s="2"/>
      <c r="C11" s="5" t="s">
        <v>11</v>
      </c>
      <c r="D11" s="6" t="s">
        <v>12</v>
      </c>
      <c r="E11" s="7"/>
      <c r="F11" s="2"/>
      <c r="G11" s="2"/>
    </row>
    <row r="12" customFormat="false" ht="15" hidden="false" customHeight="true" outlineLevel="0" collapsed="false">
      <c r="A12" s="2"/>
      <c r="B12" s="2"/>
      <c r="C12" s="5" t="s">
        <v>13</v>
      </c>
      <c r="D12" s="6" t="s">
        <v>14</v>
      </c>
      <c r="E12" s="7"/>
      <c r="F12" s="2"/>
      <c r="G12" s="2"/>
    </row>
    <row r="13" customFormat="false" ht="15" hidden="false" customHeight="true" outlineLevel="0" collapsed="false">
      <c r="A13" s="2"/>
      <c r="B13" s="2"/>
      <c r="C13" s="5" t="s">
        <v>15</v>
      </c>
      <c r="D13" s="11" t="n">
        <f aca="false">IFERROR(VLOOKUP(D11,Vehicles!$A:$D,3,FALSE()),0)</f>
        <v>6.8</v>
      </c>
      <c r="E13" s="9" t="str">
        <f aca="false">IFERROR(" "&amp;VLOOKUP(D11,Vehicles!$A:$D,4,FALSE()),"")</f>
        <v> L/100km</v>
      </c>
      <c r="F13" s="2"/>
      <c r="G13" s="2"/>
    </row>
    <row r="14" customFormat="false" ht="15" hidden="false" customHeight="true" outlineLevel="0" collapsed="false">
      <c r="A14" s="2"/>
      <c r="B14" s="2"/>
      <c r="C14" s="5" t="s">
        <v>16</v>
      </c>
      <c r="D14" s="10" t="n">
        <f aca="false">IFERROR(IF(VLOOKUP(D11,Vehicles!$A:$B,2,FALSE())="EV",IF(D12=Fuels!$A$5,Fuels!$B$5,IF(D12=Fuels!$A$6,Fuels!$B$6,IF(D12=Fuels!$A$7,Fuels!$B$7,Fuels!$B$5))),VLOOKUP(D12,Fuels!$A:$C,2,FALSE())),0)</f>
        <v>1.99</v>
      </c>
      <c r="E14" s="9" t="str">
        <f aca="false">IFERROR(IF(VLOOKUP(D11,Vehicles!$A:$B,2,FALSE())="EV"," RM/kWh",VLOOKUP(D12,Fuels!$A:$C,3,FALSE())),"")</f>
        <v>RM/L</v>
      </c>
      <c r="F14" s="2"/>
      <c r="G14" s="2"/>
    </row>
    <row r="15" customFormat="false" ht="15" hidden="false" customHeight="true" outlineLevel="0" collapsed="false">
      <c r="A15" s="2"/>
      <c r="B15" s="2"/>
      <c r="C15" s="12" t="s">
        <v>17</v>
      </c>
      <c r="D15" s="13" t="n">
        <f aca="false">IFERROR(IF(VLOOKUP(D11,Vehicles!$A:$B,2,FALSE())="EV",IF(D12=Fuels!$A$5,Fuels!$F$5,IF(D12=Fuels!$A$6,Fuels!$F$6,IF(D12=Fuels!$A$7,Fuels!$F$7,Fuels!$F$5))),VLOOKUP(D12,Fuels!$A:$F,6,FALSE())),0)</f>
        <v>4.02</v>
      </c>
      <c r="E15" s="14" t="str">
        <f aca="false">IFERROR(IF(VLOOKUP(D11,Vehicles!$A:$B,2,FALSE())="EV"," RM/kWh",VLOOKUP(D12,Fuels!$A:$C,3,FALSE())),"")</f>
        <v>RM/L</v>
      </c>
      <c r="F15" s="2"/>
      <c r="G15" s="2"/>
    </row>
    <row r="16" customFormat="false" ht="15" hidden="false" customHeight="true" outlineLevel="0" collapsed="false">
      <c r="A16" s="2"/>
      <c r="B16" s="2"/>
      <c r="C16" s="15" t="s">
        <v>18</v>
      </c>
      <c r="D16" s="15"/>
      <c r="E16" s="15"/>
      <c r="F16" s="2"/>
      <c r="G16" s="2"/>
    </row>
    <row r="17" customFormat="false" ht="15" hidden="false" customHeight="true" outlineLevel="0" collapsed="false">
      <c r="A17" s="2"/>
      <c r="B17" s="2"/>
      <c r="C17" s="16" t="s">
        <v>19</v>
      </c>
      <c r="D17" s="16"/>
      <c r="E17" s="16"/>
      <c r="F17" s="2"/>
      <c r="G17" s="2"/>
    </row>
    <row r="18" customFormat="false" ht="15" hidden="false" customHeight="true" outlineLevel="0" collapsed="false">
      <c r="A18" s="2"/>
      <c r="B18" s="2"/>
      <c r="C18" s="5" t="s">
        <v>20</v>
      </c>
      <c r="D18" s="10" t="n">
        <f aca="false">IFERROR(IF(OR(D7=0,D13=0,D14=0),0,IF(OR(D12=Fuels!$A$6,D12=Fuels!$A$7),0,(D7/100)*D13*D14)),0)</f>
        <v>107.5794</v>
      </c>
      <c r="E18" s="9" t="s">
        <v>9</v>
      </c>
      <c r="F18" s="2"/>
      <c r="G18" s="2"/>
    </row>
    <row r="19" customFormat="false" ht="17.25" hidden="false" customHeight="true" outlineLevel="0" collapsed="false">
      <c r="A19" s="2"/>
      <c r="B19" s="2"/>
      <c r="C19" s="12" t="s">
        <v>21</v>
      </c>
      <c r="D19" s="10" t="n">
        <f aca="false">IFERROR(IF(OR(D7=0,D13=0,D14=0),0,IF(OR(D12=Fuels!$A$6,D12=Fuels!$A$7),(D7/100)*D13*D14,0)),0)</f>
        <v>0</v>
      </c>
      <c r="E19" s="9" t="s">
        <v>9</v>
      </c>
      <c r="F19" s="2"/>
      <c r="G19" s="2"/>
    </row>
    <row r="20" customFormat="false" ht="15" hidden="false" customHeight="true" outlineLevel="0" collapsed="false">
      <c r="A20" s="2"/>
      <c r="B20" s="2"/>
      <c r="C20" s="12" t="s">
        <v>22</v>
      </c>
      <c r="D20" s="17" t="n">
        <f aca="false">IFERROR(IF(OR(D7=0,D13=0),0,(D7/100)*D13*MAX(D15-D14,0)),0)</f>
        <v>109.7418</v>
      </c>
      <c r="E20" s="18" t="s">
        <v>9</v>
      </c>
      <c r="F20" s="2"/>
      <c r="G20" s="2"/>
    </row>
    <row r="21" customFormat="false" ht="15" hidden="false" customHeight="true" outlineLevel="0" collapsed="false">
      <c r="A21" s="2"/>
      <c r="B21" s="2"/>
      <c r="C21" s="12" t="s">
        <v>23</v>
      </c>
      <c r="D21" s="17" t="n">
        <f aca="false">IFERROR(D18+D19+D20,0)</f>
        <v>217.3212</v>
      </c>
      <c r="E21" s="18" t="s">
        <v>9</v>
      </c>
      <c r="F21" s="2"/>
      <c r="G21" s="2"/>
    </row>
    <row r="22" customFormat="false" ht="32.25" hidden="false" customHeight="true" outlineLevel="0" collapsed="false">
      <c r="A22" s="2"/>
      <c r="B22" s="2"/>
      <c r="C22" s="19" t="s">
        <v>24</v>
      </c>
      <c r="D22" s="20" t="n">
        <f aca="false">IFERROR(D8+D18+D19,0)</f>
        <v>194.0754</v>
      </c>
      <c r="E22" s="14" t="s">
        <v>9</v>
      </c>
      <c r="F22" s="2"/>
      <c r="G22" s="2"/>
    </row>
    <row r="23" customFormat="false" ht="15" hidden="false" customHeight="true" outlineLevel="0" collapsed="false">
      <c r="A23" s="2"/>
      <c r="B23" s="2"/>
      <c r="F23" s="2"/>
      <c r="G23" s="2"/>
    </row>
    <row r="24" customFormat="false" ht="15" hidden="false" customHeight="true" outlineLevel="0" collapsed="false">
      <c r="A24" s="2"/>
      <c r="B24" s="2"/>
      <c r="C24" s="21" t="s">
        <v>25</v>
      </c>
      <c r="D24" s="21"/>
      <c r="E24" s="21"/>
      <c r="F24" s="2"/>
      <c r="G24" s="2"/>
    </row>
    <row r="25" customFormat="false" ht="15" hidden="false" customHeight="true" outlineLevel="0" collapsed="false">
      <c r="A25" s="2"/>
      <c r="B25" s="2"/>
      <c r="C25" s="22" t="s">
        <v>26</v>
      </c>
      <c r="D25" s="23" t="str">
        <f aca="false">IFERROR(VLOOKUP(D5,'Toll Data'!$A:$C,2,FALSE()),"")</f>
        <v>North</v>
      </c>
      <c r="F25" s="2"/>
      <c r="G25" s="2"/>
    </row>
    <row r="26" customFormat="false" ht="15" hidden="false" customHeight="false" outlineLevel="0" collapsed="false">
      <c r="C26" s="22" t="s">
        <v>27</v>
      </c>
      <c r="D26" s="23" t="n">
        <f aca="false">IFERROR(VLOOKUP(D5,'Toll Data'!$A:$C,3,FALSE()),0)</f>
        <v>460</v>
      </c>
    </row>
    <row r="27" customFormat="false" ht="15" hidden="false" customHeight="false" outlineLevel="0" collapsed="false">
      <c r="C27" s="22" t="s">
        <v>28</v>
      </c>
      <c r="D27" s="23" t="str">
        <f aca="false">IFERROR(VLOOKUP(D6,'Toll Data'!$A:$C,2,FALSE()),"")</f>
        <v>South</v>
      </c>
    </row>
    <row r="28" customFormat="false" ht="15" hidden="false" customHeight="false" outlineLevel="0" collapsed="false">
      <c r="C28" s="22" t="s">
        <v>29</v>
      </c>
      <c r="D28" s="23" t="n">
        <f aca="false">IFERROR(VLOOKUP(D6,'Toll Data'!$A:$C,3,FALSE()),0)</f>
        <v>320</v>
      </c>
    </row>
    <row r="30" customFormat="false" ht="15" hidden="false" customHeight="false" outlineLevel="0" collapsed="false">
      <c r="C30" s="21" t="s">
        <v>30</v>
      </c>
      <c r="D30" s="21"/>
      <c r="E30" s="21"/>
    </row>
    <row r="31" customFormat="false" ht="15" hidden="false" customHeight="false" outlineLevel="0" collapsed="false">
      <c r="C31" s="22" t="s">
        <v>31</v>
      </c>
      <c r="D31" s="23" t="n">
        <f aca="false">COUNTIF('Rest Areas'!$I:$I,TRUE())</f>
        <v>23</v>
      </c>
      <c r="E31" s="24" t="s">
        <v>32</v>
      </c>
    </row>
    <row r="32" customFormat="false" ht="30" hidden="false" customHeight="true" outlineLevel="0" collapsed="false">
      <c r="C32" s="25" t="s">
        <v>33</v>
      </c>
      <c r="D32" s="25"/>
      <c r="E32" s="25"/>
    </row>
    <row r="34" customFormat="false" ht="60" hidden="false" customHeight="true" outlineLevel="0" collapsed="false">
      <c r="C34" s="25" t="s">
        <v>34</v>
      </c>
      <c r="D34" s="25"/>
      <c r="E34" s="25"/>
    </row>
  </sheetData>
  <mergeCells count="9">
    <mergeCell ref="C2:E3"/>
    <mergeCell ref="C4:E4"/>
    <mergeCell ref="C10:E10"/>
    <mergeCell ref="C16:E16"/>
    <mergeCell ref="C17:E17"/>
    <mergeCell ref="C24:E24"/>
    <mergeCell ref="C30:E30"/>
    <mergeCell ref="C32:E32"/>
    <mergeCell ref="C34:E34"/>
  </mergeCells>
  <dataValidations count="4">
    <dataValidation allowBlank="true" errorStyle="stop" operator="between" showDropDown="false" showErrorMessage="false" showInputMessage="false" sqref="D5" type="list">
      <formula1>'Toll Data'!$A$2:$A$92</formula1>
      <formula2>0</formula2>
    </dataValidation>
    <dataValidation allowBlank="true" errorStyle="stop" operator="between" showDropDown="false" showErrorMessage="false" showInputMessage="false" sqref="D6" type="list">
      <formula1>'Toll Data'!$A$2:$A$92</formula1>
      <formula2>0</formula2>
    </dataValidation>
    <dataValidation allowBlank="true" errorStyle="stop" operator="between" showDropDown="false" showErrorMessage="false" showInputMessage="false" sqref="D11" type="list">
      <formula1>Vehicles!$A$2:$A$28</formula1>
      <formula2>0</formula2>
    </dataValidation>
    <dataValidation allowBlank="true" errorStyle="stop" operator="between" showDropDown="false" showErrorMessage="false" showInputMessage="false" sqref="D12" type="list">
      <formula1>Fuels!$A$2:$A$7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25"/>
  </cols>
  <sheetData>
    <row r="1" customFormat="false" ht="15" hidden="false" customHeight="true" outlineLevel="0" collapsed="false">
      <c r="A1" s="26" t="s">
        <v>35</v>
      </c>
      <c r="B1" s="26" t="s">
        <v>36</v>
      </c>
      <c r="C1" s="26" t="s">
        <v>37</v>
      </c>
    </row>
    <row r="2" customFormat="false" ht="15" hidden="false" customHeight="true" outlineLevel="0" collapsed="false">
      <c r="A2" s="1" t="s">
        <v>38</v>
      </c>
      <c r="B2" s="1" t="s">
        <v>39</v>
      </c>
      <c r="C2" s="1" t="n">
        <v>485</v>
      </c>
    </row>
    <row r="3" customFormat="false" ht="15" hidden="false" customHeight="true" outlineLevel="0" collapsed="false">
      <c r="A3" s="1" t="s">
        <v>3</v>
      </c>
      <c r="B3" s="1" t="s">
        <v>39</v>
      </c>
      <c r="C3" s="1" t="n">
        <v>460</v>
      </c>
    </row>
    <row r="4" customFormat="false" ht="15" hidden="false" customHeight="true" outlineLevel="0" collapsed="false">
      <c r="A4" s="1" t="s">
        <v>40</v>
      </c>
      <c r="B4" s="1" t="s">
        <v>39</v>
      </c>
      <c r="C4" s="1" t="n">
        <v>437</v>
      </c>
    </row>
    <row r="5" customFormat="false" ht="15" hidden="false" customHeight="true" outlineLevel="0" collapsed="false">
      <c r="A5" s="1" t="s">
        <v>41</v>
      </c>
      <c r="B5" s="1" t="s">
        <v>39</v>
      </c>
      <c r="C5" s="1" t="n">
        <v>430</v>
      </c>
    </row>
    <row r="6" customFormat="false" ht="15" hidden="false" customHeight="true" outlineLevel="0" collapsed="false">
      <c r="A6" s="1" t="s">
        <v>42</v>
      </c>
      <c r="B6" s="1" t="s">
        <v>39</v>
      </c>
      <c r="C6" s="1" t="n">
        <v>415</v>
      </c>
    </row>
    <row r="7" customFormat="false" ht="15" hidden="false" customHeight="true" outlineLevel="0" collapsed="false">
      <c r="A7" s="1" t="s">
        <v>43</v>
      </c>
      <c r="B7" s="1" t="s">
        <v>39</v>
      </c>
      <c r="C7" s="1" t="n">
        <v>400</v>
      </c>
    </row>
    <row r="8" customFormat="false" ht="15" hidden="false" customHeight="true" outlineLevel="0" collapsed="false">
      <c r="A8" s="1" t="s">
        <v>44</v>
      </c>
      <c r="B8" s="1" t="s">
        <v>39</v>
      </c>
      <c r="C8" s="1" t="n">
        <v>375</v>
      </c>
    </row>
    <row r="9" customFormat="false" ht="15" hidden="false" customHeight="true" outlineLevel="0" collapsed="false">
      <c r="A9" s="1" t="s">
        <v>45</v>
      </c>
      <c r="B9" s="1" t="s">
        <v>39</v>
      </c>
      <c r="C9" s="1" t="n">
        <v>365</v>
      </c>
    </row>
    <row r="10" customFormat="false" ht="15" hidden="false" customHeight="true" outlineLevel="0" collapsed="false">
      <c r="A10" s="1" t="s">
        <v>46</v>
      </c>
      <c r="B10" s="1" t="s">
        <v>39</v>
      </c>
      <c r="C10" s="1" t="n">
        <v>355</v>
      </c>
    </row>
    <row r="11" customFormat="false" ht="15" hidden="false" customHeight="true" outlineLevel="0" collapsed="false">
      <c r="A11" s="1" t="s">
        <v>47</v>
      </c>
      <c r="B11" s="1" t="s">
        <v>39</v>
      </c>
      <c r="C11" s="1" t="n">
        <v>345</v>
      </c>
    </row>
    <row r="12" customFormat="false" ht="15" hidden="false" customHeight="true" outlineLevel="0" collapsed="false">
      <c r="A12" s="1" t="s">
        <v>48</v>
      </c>
      <c r="B12" s="1" t="s">
        <v>39</v>
      </c>
      <c r="C12" s="1" t="n">
        <v>335</v>
      </c>
    </row>
    <row r="13" customFormat="false" ht="15" hidden="false" customHeight="true" outlineLevel="0" collapsed="false">
      <c r="A13" s="1" t="s">
        <v>49</v>
      </c>
      <c r="B13" s="1" t="s">
        <v>39</v>
      </c>
      <c r="C13" s="1" t="n">
        <v>320</v>
      </c>
    </row>
    <row r="14" customFormat="false" ht="15" hidden="false" customHeight="true" outlineLevel="0" collapsed="false">
      <c r="A14" s="1" t="s">
        <v>50</v>
      </c>
      <c r="B14" s="1" t="s">
        <v>39</v>
      </c>
      <c r="C14" s="1" t="n">
        <v>315</v>
      </c>
    </row>
    <row r="15" customFormat="false" ht="15" hidden="false" customHeight="true" outlineLevel="0" collapsed="false">
      <c r="A15" s="1" t="s">
        <v>51</v>
      </c>
      <c r="B15" s="1" t="s">
        <v>39</v>
      </c>
      <c r="C15" s="1" t="n">
        <v>310</v>
      </c>
    </row>
    <row r="16" customFormat="false" ht="15" hidden="false" customHeight="true" outlineLevel="0" collapsed="false">
      <c r="A16" s="1" t="s">
        <v>52</v>
      </c>
      <c r="B16" s="1" t="s">
        <v>39</v>
      </c>
      <c r="C16" s="1" t="n">
        <v>295</v>
      </c>
    </row>
    <row r="17" customFormat="false" ht="15" hidden="false" customHeight="true" outlineLevel="0" collapsed="false">
      <c r="A17" s="1" t="s">
        <v>53</v>
      </c>
      <c r="B17" s="1" t="s">
        <v>39</v>
      </c>
      <c r="C17" s="1" t="n">
        <v>280</v>
      </c>
    </row>
    <row r="18" customFormat="false" ht="15" hidden="false" customHeight="true" outlineLevel="0" collapsed="false">
      <c r="A18" s="1" t="s">
        <v>54</v>
      </c>
      <c r="B18" s="1" t="s">
        <v>39</v>
      </c>
      <c r="C18" s="1" t="n">
        <v>270</v>
      </c>
    </row>
    <row r="19" customFormat="false" ht="15" hidden="false" customHeight="true" outlineLevel="0" collapsed="false">
      <c r="A19" s="1" t="s">
        <v>55</v>
      </c>
      <c r="B19" s="1" t="s">
        <v>39</v>
      </c>
      <c r="C19" s="1" t="n">
        <v>250</v>
      </c>
    </row>
    <row r="20" customFormat="false" ht="15" hidden="false" customHeight="true" outlineLevel="0" collapsed="false">
      <c r="A20" s="1" t="s">
        <v>56</v>
      </c>
      <c r="B20" s="1" t="s">
        <v>39</v>
      </c>
      <c r="C20" s="1" t="n">
        <v>240</v>
      </c>
    </row>
    <row r="21" customFormat="false" ht="15" hidden="false" customHeight="true" outlineLevel="0" collapsed="false">
      <c r="A21" s="1" t="s">
        <v>57</v>
      </c>
      <c r="B21" s="1" t="s">
        <v>39</v>
      </c>
      <c r="C21" s="1" t="n">
        <v>215</v>
      </c>
    </row>
    <row r="22" customFormat="false" ht="15" hidden="false" customHeight="true" outlineLevel="0" collapsed="false">
      <c r="A22" s="1" t="s">
        <v>58</v>
      </c>
      <c r="B22" s="1" t="s">
        <v>39</v>
      </c>
      <c r="C22" s="1" t="n">
        <v>195</v>
      </c>
    </row>
    <row r="23" customFormat="false" ht="15" hidden="false" customHeight="true" outlineLevel="0" collapsed="false">
      <c r="A23" s="1" t="s">
        <v>59</v>
      </c>
      <c r="B23" s="1" t="s">
        <v>39</v>
      </c>
      <c r="C23" s="1" t="n">
        <v>190</v>
      </c>
    </row>
    <row r="24" customFormat="false" ht="15" hidden="false" customHeight="true" outlineLevel="0" collapsed="false">
      <c r="A24" s="1" t="s">
        <v>60</v>
      </c>
      <c r="B24" s="1" t="s">
        <v>39</v>
      </c>
      <c r="C24" s="1" t="n">
        <v>180</v>
      </c>
    </row>
    <row r="25" customFormat="false" ht="15" hidden="false" customHeight="true" outlineLevel="0" collapsed="false">
      <c r="A25" s="1" t="s">
        <v>61</v>
      </c>
      <c r="B25" s="1" t="s">
        <v>39</v>
      </c>
      <c r="C25" s="1" t="n">
        <v>170</v>
      </c>
    </row>
    <row r="26" customFormat="false" ht="15" hidden="false" customHeight="true" outlineLevel="0" collapsed="false">
      <c r="A26" s="1" t="s">
        <v>62</v>
      </c>
      <c r="B26" s="1" t="s">
        <v>39</v>
      </c>
      <c r="C26" s="1" t="n">
        <v>145</v>
      </c>
    </row>
    <row r="27" customFormat="false" ht="15" hidden="false" customHeight="true" outlineLevel="0" collapsed="false">
      <c r="A27" s="1" t="s">
        <v>63</v>
      </c>
      <c r="B27" s="1" t="s">
        <v>39</v>
      </c>
      <c r="C27" s="1" t="n">
        <v>130</v>
      </c>
    </row>
    <row r="28" customFormat="false" ht="15" hidden="false" customHeight="true" outlineLevel="0" collapsed="false">
      <c r="A28" s="1" t="s">
        <v>64</v>
      </c>
      <c r="B28" s="1" t="s">
        <v>39</v>
      </c>
      <c r="C28" s="1" t="n">
        <v>115</v>
      </c>
    </row>
    <row r="29" customFormat="false" ht="15" hidden="false" customHeight="true" outlineLevel="0" collapsed="false">
      <c r="A29" s="1" t="s">
        <v>65</v>
      </c>
      <c r="B29" s="1" t="s">
        <v>39</v>
      </c>
      <c r="C29" s="1" t="n">
        <v>100</v>
      </c>
    </row>
    <row r="30" customFormat="false" ht="15" hidden="false" customHeight="true" outlineLevel="0" collapsed="false">
      <c r="A30" s="1" t="s">
        <v>66</v>
      </c>
      <c r="B30" s="1" t="s">
        <v>39</v>
      </c>
      <c r="C30" s="1" t="n">
        <v>85</v>
      </c>
    </row>
    <row r="31" customFormat="false" ht="15" hidden="false" customHeight="true" outlineLevel="0" collapsed="false">
      <c r="A31" s="1" t="s">
        <v>67</v>
      </c>
      <c r="B31" s="1" t="s">
        <v>39</v>
      </c>
      <c r="C31" s="1" t="n">
        <v>70</v>
      </c>
    </row>
    <row r="32" customFormat="false" ht="15" hidden="false" customHeight="true" outlineLevel="0" collapsed="false">
      <c r="A32" s="1" t="s">
        <v>68</v>
      </c>
      <c r="B32" s="1" t="s">
        <v>39</v>
      </c>
      <c r="C32" s="1" t="n">
        <v>55</v>
      </c>
    </row>
    <row r="33" customFormat="false" ht="15" hidden="false" customHeight="true" outlineLevel="0" collapsed="false">
      <c r="A33" s="1" t="s">
        <v>69</v>
      </c>
      <c r="B33" s="1" t="s">
        <v>39</v>
      </c>
      <c r="C33" s="1" t="n">
        <v>50</v>
      </c>
    </row>
    <row r="34" customFormat="false" ht="15" hidden="false" customHeight="true" outlineLevel="0" collapsed="false">
      <c r="A34" s="1" t="s">
        <v>70</v>
      </c>
      <c r="B34" s="1" t="s">
        <v>39</v>
      </c>
      <c r="C34" s="1" t="n">
        <v>25</v>
      </c>
    </row>
    <row r="35" customFormat="false" ht="15" hidden="false" customHeight="true" outlineLevel="0" collapsed="false">
      <c r="A35" s="1" t="s">
        <v>71</v>
      </c>
      <c r="B35" s="1" t="s">
        <v>39</v>
      </c>
      <c r="C35" s="1" t="n">
        <v>15</v>
      </c>
    </row>
    <row r="36" customFormat="false" ht="15" hidden="false" customHeight="true" outlineLevel="0" collapsed="false">
      <c r="A36" s="1" t="s">
        <v>72</v>
      </c>
      <c r="B36" s="1" t="s">
        <v>73</v>
      </c>
      <c r="C36" s="1" t="n">
        <v>0</v>
      </c>
    </row>
    <row r="37" customFormat="false" ht="15" hidden="false" customHeight="true" outlineLevel="0" collapsed="false">
      <c r="A37" s="1" t="s">
        <v>74</v>
      </c>
      <c r="B37" s="1" t="s">
        <v>73</v>
      </c>
      <c r="C37" s="1" t="n">
        <v>10</v>
      </c>
    </row>
    <row r="38" customFormat="false" ht="15" hidden="false" customHeight="true" outlineLevel="0" collapsed="false">
      <c r="A38" s="1" t="s">
        <v>75</v>
      </c>
      <c r="B38" s="1" t="s">
        <v>73</v>
      </c>
      <c r="C38" s="1" t="n">
        <v>15</v>
      </c>
    </row>
    <row r="39" customFormat="false" ht="15" hidden="false" customHeight="true" outlineLevel="0" collapsed="false">
      <c r="A39" s="1" t="s">
        <v>76</v>
      </c>
      <c r="B39" s="1" t="s">
        <v>73</v>
      </c>
      <c r="C39" s="1" t="n">
        <v>20</v>
      </c>
    </row>
    <row r="40" customFormat="false" ht="15" hidden="false" customHeight="true" outlineLevel="0" collapsed="false">
      <c r="A40" s="1" t="s">
        <v>77</v>
      </c>
      <c r="B40" s="1" t="s">
        <v>73</v>
      </c>
      <c r="C40" s="1" t="n">
        <v>25</v>
      </c>
    </row>
    <row r="41" customFormat="false" ht="15" hidden="false" customHeight="true" outlineLevel="0" collapsed="false">
      <c r="A41" s="1" t="s">
        <v>78</v>
      </c>
      <c r="B41" s="1" t="s">
        <v>73</v>
      </c>
      <c r="C41" s="1" t="n">
        <v>28</v>
      </c>
    </row>
    <row r="42" customFormat="false" ht="15" hidden="false" customHeight="true" outlineLevel="0" collapsed="false">
      <c r="A42" s="1" t="s">
        <v>79</v>
      </c>
      <c r="B42" s="1" t="s">
        <v>73</v>
      </c>
      <c r="C42" s="1" t="n">
        <v>33</v>
      </c>
    </row>
    <row r="43" customFormat="false" ht="15" hidden="false" customHeight="true" outlineLevel="0" collapsed="false">
      <c r="A43" s="1" t="s">
        <v>80</v>
      </c>
      <c r="B43" s="1" t="s">
        <v>73</v>
      </c>
      <c r="C43" s="1" t="n">
        <v>40</v>
      </c>
    </row>
    <row r="44" customFormat="false" ht="15" hidden="false" customHeight="true" outlineLevel="0" collapsed="false">
      <c r="A44" s="1" t="s">
        <v>81</v>
      </c>
      <c r="B44" s="1" t="s">
        <v>73</v>
      </c>
      <c r="C44" s="1" t="n">
        <v>55</v>
      </c>
    </row>
    <row r="45" customFormat="false" ht="15" hidden="false" customHeight="true" outlineLevel="0" collapsed="false">
      <c r="A45" s="1" t="s">
        <v>82</v>
      </c>
      <c r="B45" s="1" t="s">
        <v>73</v>
      </c>
      <c r="C45" s="1" t="n">
        <v>70</v>
      </c>
    </row>
    <row r="46" customFormat="false" ht="15" hidden="false" customHeight="true" outlineLevel="0" collapsed="false">
      <c r="A46" s="1" t="s">
        <v>83</v>
      </c>
      <c r="B46" s="1" t="s">
        <v>84</v>
      </c>
      <c r="C46" s="1" t="n">
        <v>0</v>
      </c>
    </row>
    <row r="47" customFormat="false" ht="15" hidden="false" customHeight="true" outlineLevel="0" collapsed="false">
      <c r="A47" s="1" t="s">
        <v>85</v>
      </c>
      <c r="B47" s="1" t="s">
        <v>84</v>
      </c>
      <c r="C47" s="1" t="n">
        <v>5</v>
      </c>
    </row>
    <row r="48" customFormat="false" ht="15" hidden="false" customHeight="true" outlineLevel="0" collapsed="false">
      <c r="A48" s="1" t="s">
        <v>86</v>
      </c>
      <c r="B48" s="1" t="s">
        <v>84</v>
      </c>
      <c r="C48" s="1" t="n">
        <v>10</v>
      </c>
    </row>
    <row r="49" customFormat="false" ht="15" hidden="false" customHeight="true" outlineLevel="0" collapsed="false">
      <c r="A49" s="1" t="s">
        <v>87</v>
      </c>
      <c r="B49" s="1" t="s">
        <v>84</v>
      </c>
      <c r="C49" s="1" t="n">
        <v>18</v>
      </c>
    </row>
    <row r="50" customFormat="false" ht="15" hidden="false" customHeight="true" outlineLevel="0" collapsed="false">
      <c r="A50" s="1" t="s">
        <v>88</v>
      </c>
      <c r="B50" s="1" t="s">
        <v>84</v>
      </c>
      <c r="C50" s="1" t="n">
        <v>25</v>
      </c>
    </row>
    <row r="51" customFormat="false" ht="15" hidden="false" customHeight="true" outlineLevel="0" collapsed="false">
      <c r="A51" s="1" t="s">
        <v>89</v>
      </c>
      <c r="B51" s="1" t="s">
        <v>84</v>
      </c>
      <c r="C51" s="1" t="n">
        <v>35</v>
      </c>
    </row>
    <row r="52" customFormat="false" ht="15" hidden="false" customHeight="true" outlineLevel="0" collapsed="false">
      <c r="A52" s="1" t="s">
        <v>90</v>
      </c>
      <c r="B52" s="1" t="s">
        <v>84</v>
      </c>
      <c r="C52" s="1" t="n">
        <v>55</v>
      </c>
    </row>
    <row r="53" customFormat="false" ht="15" hidden="false" customHeight="true" outlineLevel="0" collapsed="false">
      <c r="A53" s="1" t="s">
        <v>91</v>
      </c>
      <c r="B53" s="1" t="s">
        <v>84</v>
      </c>
      <c r="C53" s="1" t="n">
        <v>65</v>
      </c>
    </row>
    <row r="54" customFormat="false" ht="15" hidden="false" customHeight="true" outlineLevel="0" collapsed="false">
      <c r="A54" s="1" t="s">
        <v>92</v>
      </c>
      <c r="B54" s="1" t="s">
        <v>84</v>
      </c>
      <c r="C54" s="1" t="n">
        <v>70</v>
      </c>
    </row>
    <row r="55" customFormat="false" ht="15" hidden="false" customHeight="true" outlineLevel="0" collapsed="false">
      <c r="A55" s="1" t="s">
        <v>93</v>
      </c>
      <c r="B55" s="1" t="s">
        <v>84</v>
      </c>
      <c r="C55" s="1" t="n">
        <v>90</v>
      </c>
    </row>
    <row r="56" customFormat="false" ht="15" hidden="false" customHeight="true" outlineLevel="0" collapsed="false">
      <c r="A56" s="1" t="s">
        <v>94</v>
      </c>
      <c r="B56" s="1" t="s">
        <v>84</v>
      </c>
      <c r="C56" s="1" t="n">
        <v>110</v>
      </c>
    </row>
    <row r="57" customFormat="false" ht="15" hidden="false" customHeight="true" outlineLevel="0" collapsed="false">
      <c r="A57" s="1" t="s">
        <v>95</v>
      </c>
      <c r="B57" s="1" t="s">
        <v>84</v>
      </c>
      <c r="C57" s="1" t="n">
        <v>135</v>
      </c>
    </row>
    <row r="58" customFormat="false" ht="15" hidden="false" customHeight="true" outlineLevel="0" collapsed="false">
      <c r="A58" s="1" t="s">
        <v>96</v>
      </c>
      <c r="B58" s="1" t="s">
        <v>84</v>
      </c>
      <c r="C58" s="1" t="n">
        <v>155</v>
      </c>
    </row>
    <row r="59" customFormat="false" ht="15" hidden="false" customHeight="true" outlineLevel="0" collapsed="false">
      <c r="A59" s="1" t="s">
        <v>97</v>
      </c>
      <c r="B59" s="1" t="s">
        <v>84</v>
      </c>
      <c r="C59" s="1" t="n">
        <v>175</v>
      </c>
    </row>
    <row r="60" customFormat="false" ht="15" hidden="false" customHeight="true" outlineLevel="0" collapsed="false">
      <c r="A60" s="1" t="s">
        <v>98</v>
      </c>
      <c r="B60" s="1" t="s">
        <v>84</v>
      </c>
      <c r="C60" s="1" t="n">
        <v>200</v>
      </c>
    </row>
    <row r="61" customFormat="false" ht="15" hidden="false" customHeight="true" outlineLevel="0" collapsed="false">
      <c r="A61" s="1" t="s">
        <v>99</v>
      </c>
      <c r="B61" s="1" t="s">
        <v>84</v>
      </c>
      <c r="C61" s="1" t="n">
        <v>225</v>
      </c>
    </row>
    <row r="62" customFormat="false" ht="15" hidden="false" customHeight="true" outlineLevel="0" collapsed="false">
      <c r="A62" s="1" t="s">
        <v>100</v>
      </c>
      <c r="B62" s="1" t="s">
        <v>84</v>
      </c>
      <c r="C62" s="1" t="n">
        <v>235</v>
      </c>
    </row>
    <row r="63" customFormat="false" ht="15" hidden="false" customHeight="true" outlineLevel="0" collapsed="false">
      <c r="A63" s="1" t="s">
        <v>101</v>
      </c>
      <c r="B63" s="1" t="s">
        <v>84</v>
      </c>
      <c r="C63" s="1" t="n">
        <v>250</v>
      </c>
    </row>
    <row r="64" customFormat="false" ht="15" hidden="false" customHeight="true" outlineLevel="0" collapsed="false">
      <c r="A64" s="1" t="s">
        <v>102</v>
      </c>
      <c r="B64" s="1" t="s">
        <v>84</v>
      </c>
      <c r="C64" s="1" t="n">
        <v>265</v>
      </c>
    </row>
    <row r="65" customFormat="false" ht="15" hidden="false" customHeight="true" outlineLevel="0" collapsed="false">
      <c r="A65" s="1" t="s">
        <v>103</v>
      </c>
      <c r="B65" s="1" t="s">
        <v>84</v>
      </c>
      <c r="C65" s="1" t="n">
        <v>275</v>
      </c>
    </row>
    <row r="66" customFormat="false" ht="15" hidden="false" customHeight="true" outlineLevel="0" collapsed="false">
      <c r="A66" s="1" t="s">
        <v>104</v>
      </c>
      <c r="B66" s="1" t="s">
        <v>84</v>
      </c>
      <c r="C66" s="1" t="n">
        <v>290</v>
      </c>
    </row>
    <row r="67" customFormat="false" ht="15" hidden="false" customHeight="true" outlineLevel="0" collapsed="false">
      <c r="A67" s="1" t="s">
        <v>105</v>
      </c>
      <c r="B67" s="1" t="s">
        <v>84</v>
      </c>
      <c r="C67" s="1" t="n">
        <v>305</v>
      </c>
    </row>
    <row r="68" customFormat="false" ht="15" hidden="false" customHeight="true" outlineLevel="0" collapsed="false">
      <c r="A68" s="1" t="s">
        <v>5</v>
      </c>
      <c r="B68" s="1" t="s">
        <v>84</v>
      </c>
      <c r="C68" s="1" t="n">
        <v>320</v>
      </c>
    </row>
    <row r="69" customFormat="false" ht="15" hidden="false" customHeight="true" outlineLevel="0" collapsed="false">
      <c r="A69" s="1" t="s">
        <v>106</v>
      </c>
      <c r="B69" s="1" t="s">
        <v>84</v>
      </c>
      <c r="C69" s="1" t="n">
        <v>330</v>
      </c>
    </row>
    <row r="70" customFormat="false" ht="15" hidden="false" customHeight="true" outlineLevel="0" collapsed="false">
      <c r="A70" s="1" t="s">
        <v>107</v>
      </c>
      <c r="B70" s="1" t="s">
        <v>84</v>
      </c>
      <c r="C70" s="1" t="n">
        <v>340</v>
      </c>
    </row>
    <row r="71" customFormat="false" ht="15" hidden="false" customHeight="true" outlineLevel="0" collapsed="false">
      <c r="A71" s="1" t="s">
        <v>108</v>
      </c>
      <c r="B71" s="1" t="s">
        <v>109</v>
      </c>
      <c r="C71" s="1" t="n">
        <v>0</v>
      </c>
    </row>
    <row r="72" customFormat="false" ht="15" hidden="false" customHeight="true" outlineLevel="0" collapsed="false">
      <c r="A72" s="1" t="s">
        <v>110</v>
      </c>
      <c r="B72" s="1" t="s">
        <v>109</v>
      </c>
      <c r="C72" s="1" t="n">
        <v>40</v>
      </c>
    </row>
    <row r="73" customFormat="false" ht="15" hidden="false" customHeight="true" outlineLevel="0" collapsed="false">
      <c r="A73" s="1" t="s">
        <v>111</v>
      </c>
      <c r="B73" s="1" t="s">
        <v>109</v>
      </c>
      <c r="C73" s="1" t="n">
        <v>60</v>
      </c>
    </row>
    <row r="74" customFormat="false" ht="15" hidden="false" customHeight="true" outlineLevel="0" collapsed="false">
      <c r="A74" s="1" t="s">
        <v>112</v>
      </c>
      <c r="B74" s="1" t="s">
        <v>109</v>
      </c>
      <c r="C74" s="1" t="n">
        <v>85</v>
      </c>
    </row>
    <row r="75" customFormat="false" ht="15" hidden="false" customHeight="true" outlineLevel="0" collapsed="false">
      <c r="A75" s="1" t="s">
        <v>113</v>
      </c>
      <c r="B75" s="1" t="s">
        <v>109</v>
      </c>
      <c r="C75" s="1" t="n">
        <v>105</v>
      </c>
    </row>
    <row r="76" customFormat="false" ht="15" hidden="false" customHeight="true" outlineLevel="0" collapsed="false">
      <c r="A76" s="1" t="s">
        <v>114</v>
      </c>
      <c r="B76" s="1" t="s">
        <v>109</v>
      </c>
      <c r="C76" s="1" t="n">
        <v>115</v>
      </c>
    </row>
    <row r="77" customFormat="false" ht="15" hidden="false" customHeight="true" outlineLevel="0" collapsed="false">
      <c r="A77" s="1" t="s">
        <v>115</v>
      </c>
      <c r="B77" s="1" t="s">
        <v>109</v>
      </c>
      <c r="C77" s="1" t="n">
        <v>145</v>
      </c>
    </row>
    <row r="78" customFormat="false" ht="15" hidden="false" customHeight="true" outlineLevel="0" collapsed="false">
      <c r="A78" s="1" t="s">
        <v>116</v>
      </c>
      <c r="B78" s="1" t="s">
        <v>109</v>
      </c>
      <c r="C78" s="1" t="n">
        <v>170</v>
      </c>
    </row>
    <row r="79" customFormat="false" ht="15" hidden="false" customHeight="true" outlineLevel="0" collapsed="false">
      <c r="A79" s="1" t="s">
        <v>117</v>
      </c>
      <c r="B79" s="1" t="s">
        <v>109</v>
      </c>
      <c r="C79" s="1" t="n">
        <v>190</v>
      </c>
    </row>
    <row r="80" customFormat="false" ht="15" hidden="false" customHeight="true" outlineLevel="0" collapsed="false">
      <c r="A80" s="1" t="s">
        <v>118</v>
      </c>
      <c r="B80" s="1" t="s">
        <v>109</v>
      </c>
      <c r="C80" s="1" t="n">
        <v>215</v>
      </c>
    </row>
    <row r="81" customFormat="false" ht="15" hidden="false" customHeight="true" outlineLevel="0" collapsed="false">
      <c r="A81" s="1" t="s">
        <v>119</v>
      </c>
      <c r="B81" s="1" t="s">
        <v>109</v>
      </c>
      <c r="C81" s="1" t="n">
        <v>240</v>
      </c>
    </row>
    <row r="82" customFormat="false" ht="15" hidden="false" customHeight="true" outlineLevel="0" collapsed="false">
      <c r="A82" s="1" t="s">
        <v>120</v>
      </c>
      <c r="B82" s="1" t="s">
        <v>109</v>
      </c>
      <c r="C82" s="1" t="n">
        <v>250</v>
      </c>
    </row>
    <row r="83" customFormat="false" ht="15" hidden="false" customHeight="true" outlineLevel="0" collapsed="false">
      <c r="A83" s="1" t="s">
        <v>121</v>
      </c>
      <c r="B83" s="1" t="s">
        <v>109</v>
      </c>
      <c r="C83" s="1" t="n">
        <v>275</v>
      </c>
    </row>
    <row r="84" customFormat="false" ht="15" hidden="false" customHeight="true" outlineLevel="0" collapsed="false">
      <c r="A84" s="1" t="s">
        <v>122</v>
      </c>
      <c r="B84" s="1" t="s">
        <v>109</v>
      </c>
      <c r="C84" s="1" t="n">
        <v>305</v>
      </c>
    </row>
    <row r="85" customFormat="false" ht="15" hidden="false" customHeight="true" outlineLevel="0" collapsed="false">
      <c r="A85" s="1" t="s">
        <v>123</v>
      </c>
      <c r="B85" s="1" t="s">
        <v>109</v>
      </c>
      <c r="C85" s="1" t="n">
        <v>325</v>
      </c>
    </row>
    <row r="86" customFormat="false" ht="15" hidden="false" customHeight="true" outlineLevel="0" collapsed="false">
      <c r="A86" s="1" t="s">
        <v>124</v>
      </c>
      <c r="B86" s="1" t="s">
        <v>109</v>
      </c>
      <c r="C86" s="1" t="n">
        <v>345</v>
      </c>
    </row>
    <row r="87" customFormat="false" ht="15" hidden="false" customHeight="true" outlineLevel="0" collapsed="false">
      <c r="A87" s="1" t="s">
        <v>125</v>
      </c>
      <c r="B87" s="1" t="s">
        <v>109</v>
      </c>
      <c r="C87" s="1" t="n">
        <v>360</v>
      </c>
    </row>
    <row r="88" customFormat="false" ht="15" hidden="false" customHeight="true" outlineLevel="0" collapsed="false">
      <c r="A88" s="1" t="s">
        <v>126</v>
      </c>
      <c r="B88" s="1" t="s">
        <v>109</v>
      </c>
      <c r="C88" s="1" t="n">
        <v>380</v>
      </c>
    </row>
    <row r="89" customFormat="false" ht="15" hidden="false" customHeight="true" outlineLevel="0" collapsed="false">
      <c r="A89" s="1" t="s">
        <v>127</v>
      </c>
      <c r="B89" s="1" t="s">
        <v>109</v>
      </c>
      <c r="C89" s="1" t="n">
        <v>400</v>
      </c>
    </row>
    <row r="90" customFormat="false" ht="15" hidden="false" customHeight="true" outlineLevel="0" collapsed="false">
      <c r="A90" s="1" t="s">
        <v>128</v>
      </c>
      <c r="B90" s="1" t="s">
        <v>109</v>
      </c>
      <c r="C90" s="1" t="n">
        <v>430</v>
      </c>
    </row>
    <row r="91" customFormat="false" ht="15" hidden="false" customHeight="true" outlineLevel="0" collapsed="false">
      <c r="A91" s="1" t="s">
        <v>129</v>
      </c>
      <c r="B91" s="1" t="s">
        <v>109</v>
      </c>
      <c r="C91" s="1" t="n">
        <v>450</v>
      </c>
    </row>
    <row r="92" customFormat="false" ht="15" hidden="false" customHeight="true" outlineLevel="0" collapsed="false">
      <c r="A92" s="1" t="s">
        <v>130</v>
      </c>
      <c r="B92" s="1" t="s">
        <v>109</v>
      </c>
      <c r="C92" s="1" t="n">
        <v>465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6" t="s">
        <v>131</v>
      </c>
      <c r="B1" s="26" t="s">
        <v>132</v>
      </c>
      <c r="C1" s="26" t="s">
        <v>133</v>
      </c>
      <c r="D1" s="26" t="s">
        <v>134</v>
      </c>
    </row>
    <row r="2" customFormat="false" ht="15" hidden="false" customHeight="true" outlineLevel="0" collapsed="false">
      <c r="A2" s="1" t="s">
        <v>12</v>
      </c>
      <c r="B2" s="1" t="s">
        <v>135</v>
      </c>
      <c r="C2" s="1" t="n">
        <v>6.8</v>
      </c>
      <c r="D2" s="27" t="s">
        <v>136</v>
      </c>
    </row>
    <row r="3" customFormat="false" ht="15" hidden="false" customHeight="true" outlineLevel="0" collapsed="false">
      <c r="A3" s="1" t="s">
        <v>137</v>
      </c>
      <c r="B3" s="1" t="s">
        <v>135</v>
      </c>
      <c r="C3" s="1" t="n">
        <v>5.4</v>
      </c>
      <c r="D3" s="27" t="s">
        <v>136</v>
      </c>
    </row>
    <row r="4" customFormat="false" ht="15" hidden="false" customHeight="true" outlineLevel="0" collapsed="false">
      <c r="A4" s="1" t="s">
        <v>138</v>
      </c>
      <c r="B4" s="1" t="s">
        <v>135</v>
      </c>
      <c r="C4" s="1" t="n">
        <v>7.2</v>
      </c>
      <c r="D4" s="27" t="s">
        <v>136</v>
      </c>
    </row>
    <row r="5" customFormat="false" ht="15" hidden="false" customHeight="true" outlineLevel="0" collapsed="false">
      <c r="A5" s="1" t="s">
        <v>139</v>
      </c>
      <c r="B5" s="1" t="s">
        <v>135</v>
      </c>
      <c r="C5" s="1" t="n">
        <v>7.8</v>
      </c>
      <c r="D5" s="27" t="s">
        <v>136</v>
      </c>
    </row>
    <row r="6" customFormat="false" ht="15" hidden="false" customHeight="true" outlineLevel="0" collapsed="false">
      <c r="A6" s="1" t="s">
        <v>140</v>
      </c>
      <c r="B6" s="1" t="s">
        <v>141</v>
      </c>
      <c r="C6" s="1" t="n">
        <v>16.5</v>
      </c>
      <c r="D6" s="27" t="s">
        <v>142</v>
      </c>
    </row>
    <row r="7" customFormat="false" ht="15" hidden="false" customHeight="true" outlineLevel="0" collapsed="false">
      <c r="A7" s="1" t="s">
        <v>143</v>
      </c>
      <c r="B7" s="1" t="s">
        <v>144</v>
      </c>
      <c r="C7" s="1" t="n">
        <v>4.6</v>
      </c>
      <c r="D7" s="27" t="s">
        <v>136</v>
      </c>
    </row>
    <row r="8" customFormat="false" ht="15" hidden="false" customHeight="true" outlineLevel="0" collapsed="false">
      <c r="A8" s="1" t="s">
        <v>145</v>
      </c>
      <c r="B8" s="1" t="s">
        <v>135</v>
      </c>
      <c r="C8" s="1" t="n">
        <v>5</v>
      </c>
      <c r="D8" s="27" t="s">
        <v>136</v>
      </c>
    </row>
    <row r="9" customFormat="false" ht="15" hidden="false" customHeight="true" outlineLevel="0" collapsed="false">
      <c r="A9" s="1" t="s">
        <v>146</v>
      </c>
      <c r="B9" s="1" t="s">
        <v>135</v>
      </c>
      <c r="C9" s="1" t="n">
        <v>6</v>
      </c>
      <c r="D9" s="27" t="s">
        <v>136</v>
      </c>
    </row>
    <row r="10" customFormat="false" ht="15" hidden="false" customHeight="true" outlineLevel="0" collapsed="false">
      <c r="A10" s="1" t="s">
        <v>147</v>
      </c>
      <c r="B10" s="1" t="s">
        <v>135</v>
      </c>
      <c r="C10" s="1" t="n">
        <v>7</v>
      </c>
      <c r="D10" s="27" t="s">
        <v>136</v>
      </c>
    </row>
    <row r="11" customFormat="false" ht="15" hidden="false" customHeight="true" outlineLevel="0" collapsed="false">
      <c r="A11" s="1" t="s">
        <v>148</v>
      </c>
      <c r="B11" s="1" t="s">
        <v>135</v>
      </c>
      <c r="C11" s="1" t="n">
        <v>6.5</v>
      </c>
      <c r="D11" s="27" t="s">
        <v>136</v>
      </c>
    </row>
    <row r="12" customFormat="false" ht="15" hidden="false" customHeight="true" outlineLevel="0" collapsed="false">
      <c r="A12" s="1" t="s">
        <v>149</v>
      </c>
      <c r="B12" s="1" t="s">
        <v>135</v>
      </c>
      <c r="C12" s="1" t="n">
        <v>6.7</v>
      </c>
      <c r="D12" s="27" t="s">
        <v>136</v>
      </c>
    </row>
    <row r="13" customFormat="false" ht="15" hidden="false" customHeight="true" outlineLevel="0" collapsed="false">
      <c r="A13" s="1" t="s">
        <v>150</v>
      </c>
      <c r="B13" s="1" t="s">
        <v>135</v>
      </c>
      <c r="C13" s="1" t="n">
        <v>6.2</v>
      </c>
      <c r="D13" s="27" t="s">
        <v>136</v>
      </c>
    </row>
    <row r="14" customFormat="false" ht="15" hidden="false" customHeight="true" outlineLevel="0" collapsed="false">
      <c r="A14" s="1" t="s">
        <v>151</v>
      </c>
      <c r="B14" s="1" t="s">
        <v>135</v>
      </c>
      <c r="C14" s="1" t="n">
        <v>6.8</v>
      </c>
      <c r="D14" s="27" t="s">
        <v>136</v>
      </c>
    </row>
    <row r="15" customFormat="false" ht="15" hidden="false" customHeight="true" outlineLevel="0" collapsed="false">
      <c r="A15" s="1" t="s">
        <v>152</v>
      </c>
      <c r="B15" s="1" t="s">
        <v>135</v>
      </c>
      <c r="C15" s="1" t="n">
        <v>7.9</v>
      </c>
      <c r="D15" s="27" t="s">
        <v>136</v>
      </c>
    </row>
    <row r="16" customFormat="false" ht="15" hidden="false" customHeight="true" outlineLevel="0" collapsed="false">
      <c r="A16" s="1" t="s">
        <v>153</v>
      </c>
      <c r="B16" s="1" t="s">
        <v>135</v>
      </c>
      <c r="C16" s="1" t="n">
        <v>7.5</v>
      </c>
      <c r="D16" s="27" t="s">
        <v>136</v>
      </c>
    </row>
    <row r="17" customFormat="false" ht="15" hidden="false" customHeight="true" outlineLevel="0" collapsed="false">
      <c r="A17" s="1" t="s">
        <v>154</v>
      </c>
      <c r="B17" s="1" t="s">
        <v>135</v>
      </c>
      <c r="C17" s="1" t="n">
        <v>8.5</v>
      </c>
      <c r="D17" s="27" t="s">
        <v>136</v>
      </c>
    </row>
    <row r="18" customFormat="false" ht="15" hidden="false" customHeight="true" outlineLevel="0" collapsed="false">
      <c r="A18" s="1" t="s">
        <v>155</v>
      </c>
      <c r="B18" s="1" t="s">
        <v>135</v>
      </c>
      <c r="C18" s="1" t="n">
        <v>6.5</v>
      </c>
      <c r="D18" s="27" t="s">
        <v>136</v>
      </c>
    </row>
    <row r="19" customFormat="false" ht="15" hidden="false" customHeight="true" outlineLevel="0" collapsed="false">
      <c r="A19" s="1" t="s">
        <v>156</v>
      </c>
      <c r="B19" s="1" t="s">
        <v>135</v>
      </c>
      <c r="C19" s="1" t="n">
        <v>8.5</v>
      </c>
      <c r="D19" s="27" t="s">
        <v>136</v>
      </c>
    </row>
    <row r="20" customFormat="false" ht="15" hidden="false" customHeight="true" outlineLevel="0" collapsed="false">
      <c r="A20" s="1" t="s">
        <v>157</v>
      </c>
      <c r="B20" s="1" t="s">
        <v>141</v>
      </c>
      <c r="C20" s="1" t="n">
        <v>15</v>
      </c>
      <c r="D20" s="27" t="s">
        <v>142</v>
      </c>
    </row>
    <row r="21" customFormat="false" ht="15" hidden="false" customHeight="true" outlineLevel="0" collapsed="false">
      <c r="A21" s="1" t="s">
        <v>158</v>
      </c>
      <c r="B21" s="1" t="s">
        <v>141</v>
      </c>
      <c r="C21" s="1" t="n">
        <v>16</v>
      </c>
      <c r="D21" s="27" t="s">
        <v>142</v>
      </c>
    </row>
    <row r="22" customFormat="false" ht="15" hidden="false" customHeight="true" outlineLevel="0" collapsed="false">
      <c r="A22" s="1" t="s">
        <v>159</v>
      </c>
      <c r="B22" s="1" t="s">
        <v>141</v>
      </c>
      <c r="C22" s="1" t="n">
        <v>17</v>
      </c>
      <c r="D22" s="27" t="s">
        <v>142</v>
      </c>
    </row>
    <row r="23" customFormat="false" ht="15" hidden="false" customHeight="true" outlineLevel="0" collapsed="false">
      <c r="A23" s="1" t="s">
        <v>160</v>
      </c>
      <c r="B23" s="1" t="s">
        <v>141</v>
      </c>
      <c r="C23" s="1" t="n">
        <v>16.5</v>
      </c>
      <c r="D23" s="27" t="s">
        <v>142</v>
      </c>
    </row>
    <row r="24" customFormat="false" ht="15" hidden="false" customHeight="true" outlineLevel="0" collapsed="false">
      <c r="A24" s="1" t="s">
        <v>161</v>
      </c>
      <c r="B24" s="1" t="s">
        <v>141</v>
      </c>
      <c r="C24" s="1" t="n">
        <v>15.5</v>
      </c>
      <c r="D24" s="27" t="s">
        <v>142</v>
      </c>
    </row>
    <row r="25" customFormat="false" ht="15" hidden="false" customHeight="true" outlineLevel="0" collapsed="false">
      <c r="A25" s="1" t="s">
        <v>162</v>
      </c>
      <c r="B25" s="1" t="s">
        <v>141</v>
      </c>
      <c r="C25" s="1" t="n">
        <v>17.5</v>
      </c>
      <c r="D25" s="27" t="s">
        <v>142</v>
      </c>
    </row>
    <row r="26" customFormat="false" ht="15" hidden="false" customHeight="true" outlineLevel="0" collapsed="false">
      <c r="A26" s="1" t="s">
        <v>163</v>
      </c>
      <c r="B26" s="1" t="s">
        <v>141</v>
      </c>
      <c r="C26" s="1" t="n">
        <v>18</v>
      </c>
      <c r="D26" s="27" t="s">
        <v>142</v>
      </c>
    </row>
    <row r="27" customFormat="false" ht="15" hidden="false" customHeight="true" outlineLevel="0" collapsed="false">
      <c r="A27" s="1" t="s">
        <v>164</v>
      </c>
      <c r="B27" s="1" t="s">
        <v>141</v>
      </c>
      <c r="C27" s="1" t="n">
        <v>21</v>
      </c>
      <c r="D27" s="27" t="s">
        <v>142</v>
      </c>
    </row>
    <row r="28" customFormat="false" ht="15" hidden="false" customHeight="true" outlineLevel="0" collapsed="false">
      <c r="A28" s="1" t="s">
        <v>165</v>
      </c>
      <c r="B28" s="1" t="s">
        <v>141</v>
      </c>
      <c r="C28" s="1" t="n">
        <v>23</v>
      </c>
      <c r="D28" s="27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  <col collapsed="false" customWidth="true" hidden="false" outlineLevel="0" max="4" min="4" style="1" width="46"/>
    <col collapsed="false" customWidth="true" hidden="false" outlineLevel="0" max="5" min="5" style="1" width="14"/>
    <col collapsed="false" customWidth="true" hidden="false" outlineLevel="0" max="6" min="6" style="27" width="16"/>
  </cols>
  <sheetData>
    <row r="1" customFormat="false" ht="15" hidden="false" customHeight="true" outlineLevel="0" collapsed="false">
      <c r="A1" s="26" t="s">
        <v>166</v>
      </c>
      <c r="B1" s="26" t="s">
        <v>167</v>
      </c>
      <c r="C1" s="26" t="s">
        <v>134</v>
      </c>
      <c r="D1" s="28" t="s">
        <v>168</v>
      </c>
      <c r="E1" s="26" t="s">
        <v>169</v>
      </c>
      <c r="F1" s="26" t="s">
        <v>170</v>
      </c>
    </row>
    <row r="2" customFormat="false" ht="15" hidden="false" customHeight="true" outlineLevel="0" collapsed="false">
      <c r="A2" s="1" t="s">
        <v>14</v>
      </c>
      <c r="B2" s="1" t="n">
        <v>1.99</v>
      </c>
      <c r="C2" s="27" t="s">
        <v>171</v>
      </c>
      <c r="D2" s="28" t="s">
        <v>172</v>
      </c>
      <c r="E2" s="1" t="s">
        <v>173</v>
      </c>
      <c r="F2" s="1" t="n">
        <v>4.02</v>
      </c>
    </row>
    <row r="3" customFormat="false" ht="15" hidden="false" customHeight="true" outlineLevel="0" collapsed="false">
      <c r="A3" s="1" t="s">
        <v>174</v>
      </c>
      <c r="B3" s="1" t="n">
        <v>4.5</v>
      </c>
      <c r="C3" s="27" t="s">
        <v>171</v>
      </c>
      <c r="D3" s="28" t="s">
        <v>172</v>
      </c>
      <c r="E3" s="1" t="s">
        <v>173</v>
      </c>
      <c r="F3" s="1" t="n">
        <v>4.5</v>
      </c>
    </row>
    <row r="4" customFormat="false" ht="15" hidden="false" customHeight="true" outlineLevel="0" collapsed="false">
      <c r="A4" s="1" t="s">
        <v>175</v>
      </c>
      <c r="B4" s="1" t="n">
        <v>4.92</v>
      </c>
      <c r="C4" s="27" t="s">
        <v>171</v>
      </c>
      <c r="D4" s="28" t="s">
        <v>172</v>
      </c>
      <c r="E4" s="1" t="s">
        <v>173</v>
      </c>
      <c r="F4" s="1" t="n">
        <v>4.92</v>
      </c>
    </row>
    <row r="5" customFormat="false" ht="15" hidden="false" customHeight="true" outlineLevel="0" collapsed="false">
      <c r="A5" s="1" t="s">
        <v>176</v>
      </c>
      <c r="B5" s="1" t="n">
        <v>0.5</v>
      </c>
      <c r="C5" s="27" t="s">
        <v>177</v>
      </c>
      <c r="D5" s="28" t="s">
        <v>178</v>
      </c>
      <c r="E5" s="1" t="s">
        <v>179</v>
      </c>
      <c r="F5" s="1" t="n">
        <v>0.5</v>
      </c>
    </row>
    <row r="6" customFormat="false" ht="41.25" hidden="false" customHeight="true" outlineLevel="0" collapsed="false">
      <c r="A6" s="1" t="s">
        <v>180</v>
      </c>
      <c r="B6" s="1" t="n">
        <v>1.1</v>
      </c>
      <c r="C6" s="27" t="s">
        <v>177</v>
      </c>
      <c r="D6" s="28" t="s">
        <v>181</v>
      </c>
      <c r="E6" s="1" t="s">
        <v>179</v>
      </c>
      <c r="F6" s="1" t="n">
        <v>1.1</v>
      </c>
    </row>
    <row r="7" customFormat="false" ht="27.75" hidden="false" customHeight="true" outlineLevel="0" collapsed="false">
      <c r="A7" s="1" t="s">
        <v>182</v>
      </c>
      <c r="B7" s="1" t="n">
        <v>1.5</v>
      </c>
      <c r="C7" s="27" t="s">
        <v>177</v>
      </c>
      <c r="D7" s="28" t="s">
        <v>183</v>
      </c>
      <c r="E7" s="1" t="s">
        <v>179</v>
      </c>
      <c r="F7" s="1" t="n">
        <v>1.5</v>
      </c>
    </row>
    <row r="9" customFormat="false" ht="45" hidden="false" customHeight="true" outlineLevel="0" collapsed="false">
      <c r="A9" s="29" t="s">
        <v>184</v>
      </c>
      <c r="B9" s="29"/>
      <c r="C9" s="29"/>
      <c r="D9" s="29"/>
      <c r="E9" s="29"/>
    </row>
  </sheetData>
  <mergeCells count="1">
    <mergeCell ref="A9:E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42"/>
    <col collapsed="false" customWidth="true" hidden="false" outlineLevel="0" max="9" min="9" style="0" width="12"/>
  </cols>
  <sheetData>
    <row r="1" customFormat="false" ht="30" hidden="false" customHeight="true" outlineLevel="0" collapsed="false">
      <c r="A1" s="30" t="s">
        <v>185</v>
      </c>
      <c r="B1" s="30" t="s">
        <v>186</v>
      </c>
      <c r="C1" s="30" t="s">
        <v>187</v>
      </c>
      <c r="D1" s="30" t="s">
        <v>188</v>
      </c>
      <c r="E1" s="30" t="s">
        <v>189</v>
      </c>
      <c r="F1" s="30" t="s">
        <v>190</v>
      </c>
      <c r="G1" s="30" t="s">
        <v>191</v>
      </c>
      <c r="H1" s="30" t="s">
        <v>192</v>
      </c>
      <c r="I1" s="30" t="s">
        <v>193</v>
      </c>
    </row>
    <row r="2" customFormat="false" ht="15" hidden="false" customHeight="false" outlineLevel="0" collapsed="false">
      <c r="A2" s="31" t="s">
        <v>194</v>
      </c>
      <c r="B2" s="31" t="s">
        <v>39</v>
      </c>
      <c r="C2" s="32" t="n">
        <v>485</v>
      </c>
      <c r="D2" s="31" t="s">
        <v>195</v>
      </c>
      <c r="E2" s="31" t="s">
        <v>196</v>
      </c>
      <c r="F2" s="31" t="s">
        <v>197</v>
      </c>
      <c r="G2" s="31" t="s">
        <v>198</v>
      </c>
      <c r="H2" s="31" t="s">
        <v>199</v>
      </c>
      <c r="I2" s="33" t="b">
        <f aca="false">IF(Dashboard!$D$25=Dashboard!$D$27,IF($B2=Dashboard!$D$25,IF(Dashboard!$D$26&lt;=Dashboard!$D$28,AND($D2="Away from KL",$C2&gt;=Dashboard!$D$26,$C2&lt;=Dashboard!$D$28),AND($D2="Towards KL",$C2&gt;=Dashboard!$D$28,$C2&lt;=Dashboard!$D$26)),FALSE()),OR(AND($B2=Dashboard!$D$25,$D2="Towards KL",$C2&lt;=Dashboard!$D$26),AND($B2=Dashboard!$D$27,$D2="Away from KL",$C2&lt;=Dashboard!$D$28)))</f>
        <v>0</v>
      </c>
    </row>
    <row r="3" customFormat="false" ht="15" hidden="false" customHeight="false" outlineLevel="0" collapsed="false">
      <c r="A3" s="31" t="s">
        <v>194</v>
      </c>
      <c r="B3" s="31" t="s">
        <v>39</v>
      </c>
      <c r="C3" s="32" t="n">
        <v>485</v>
      </c>
      <c r="D3" s="31" t="s">
        <v>200</v>
      </c>
      <c r="E3" s="31" t="s">
        <v>201</v>
      </c>
      <c r="F3" s="31" t="s">
        <v>197</v>
      </c>
      <c r="G3" s="31" t="s">
        <v>198</v>
      </c>
      <c r="H3" s="31" t="s">
        <v>199</v>
      </c>
      <c r="I3" s="33" t="b">
        <f aca="false">IF(Dashboard!$D$25=Dashboard!$D$27,IF($B3=Dashboard!$D$25,IF(Dashboard!$D$26&lt;=Dashboard!$D$28,AND($D3="Away from KL",$C3&gt;=Dashboard!$D$26,$C3&lt;=Dashboard!$D$28),AND($D3="Towards KL",$C3&gt;=Dashboard!$D$28,$C3&lt;=Dashboard!$D$26)),FALSE()),OR(AND($B3=Dashboard!$D$25,$D3="Towards KL",$C3&lt;=Dashboard!$D$26),AND($B3=Dashboard!$D$27,$D3="Away from KL",$C3&lt;=Dashboard!$D$28)))</f>
        <v>0</v>
      </c>
    </row>
    <row r="4" customFormat="false" ht="15" hidden="false" customHeight="false" outlineLevel="0" collapsed="false">
      <c r="A4" s="31" t="s">
        <v>202</v>
      </c>
      <c r="B4" s="31" t="s">
        <v>39</v>
      </c>
      <c r="C4" s="32" t="n">
        <v>460</v>
      </c>
      <c r="D4" s="31" t="s">
        <v>195</v>
      </c>
      <c r="E4" s="31" t="s">
        <v>196</v>
      </c>
      <c r="F4" s="31" t="s">
        <v>203</v>
      </c>
      <c r="G4" s="31" t="s">
        <v>204</v>
      </c>
      <c r="H4" s="31" t="s">
        <v>205</v>
      </c>
      <c r="I4" s="33" t="b">
        <f aca="false">IF(Dashboard!$D$25=Dashboard!$D$27,IF($B4=Dashboard!$D$25,IF(Dashboard!$D$26&lt;=Dashboard!$D$28,AND($D4="Away from KL",$C4&gt;=Dashboard!$D$26,$C4&lt;=Dashboard!$D$28),AND($D4="Towards KL",$C4&gt;=Dashboard!$D$28,$C4&lt;=Dashboard!$D$26)),FALSE()),OR(AND($B4=Dashboard!$D$25,$D4="Towards KL",$C4&lt;=Dashboard!$D$26),AND($B4=Dashboard!$D$27,$D4="Away from KL",$C4&lt;=Dashboard!$D$28)))</f>
        <v>0</v>
      </c>
    </row>
    <row r="5" customFormat="false" ht="15" hidden="false" customHeight="false" outlineLevel="0" collapsed="false">
      <c r="A5" s="31" t="s">
        <v>206</v>
      </c>
      <c r="B5" s="31" t="s">
        <v>39</v>
      </c>
      <c r="C5" s="32" t="n">
        <v>400</v>
      </c>
      <c r="D5" s="31" t="s">
        <v>200</v>
      </c>
      <c r="E5" s="31" t="s">
        <v>201</v>
      </c>
      <c r="F5" s="31" t="s">
        <v>203</v>
      </c>
      <c r="G5" s="31" t="s">
        <v>207</v>
      </c>
      <c r="H5" s="31" t="s">
        <v>208</v>
      </c>
      <c r="I5" s="33" t="b">
        <f aca="false">IF(Dashboard!$D$25=Dashboard!$D$27,IF($B5=Dashboard!$D$25,IF(Dashboard!$D$26&lt;=Dashboard!$D$28,AND($D5="Away from KL",$C5&gt;=Dashboard!$D$26,$C5&lt;=Dashboard!$D$28),AND($D5="Towards KL",$C5&gt;=Dashboard!$D$28,$C5&lt;=Dashboard!$D$26)),FALSE()),OR(AND($B5=Dashboard!$D$25,$D5="Towards KL",$C5&lt;=Dashboard!$D$26),AND($B5=Dashboard!$D$27,$D5="Away from KL",$C5&lt;=Dashboard!$D$28)))</f>
        <v>1</v>
      </c>
    </row>
    <row r="6" customFormat="false" ht="15" hidden="false" customHeight="false" outlineLevel="0" collapsed="false">
      <c r="A6" s="31" t="s">
        <v>209</v>
      </c>
      <c r="B6" s="31" t="s">
        <v>39</v>
      </c>
      <c r="C6" s="32" t="n">
        <v>370</v>
      </c>
      <c r="D6" s="31" t="s">
        <v>195</v>
      </c>
      <c r="E6" s="31" t="s">
        <v>196</v>
      </c>
      <c r="F6" s="31" t="s">
        <v>197</v>
      </c>
      <c r="G6" s="31" t="s">
        <v>210</v>
      </c>
      <c r="H6" s="31" t="s">
        <v>211</v>
      </c>
      <c r="I6" s="33" t="b">
        <f aca="false">IF(Dashboard!$D$25=Dashboard!$D$27,IF($B6=Dashboard!$D$25,IF(Dashboard!$D$26&lt;=Dashboard!$D$28,AND($D6="Away from KL",$C6&gt;=Dashboard!$D$26,$C6&lt;=Dashboard!$D$28),AND($D6="Towards KL",$C6&gt;=Dashboard!$D$28,$C6&lt;=Dashboard!$D$26)),FALSE()),OR(AND($B6=Dashboard!$D$25,$D6="Towards KL",$C6&lt;=Dashboard!$D$26),AND($B6=Dashboard!$D$27,$D6="Away from KL",$C6&lt;=Dashboard!$D$28)))</f>
        <v>0</v>
      </c>
    </row>
    <row r="7" customFormat="false" ht="15" hidden="false" customHeight="false" outlineLevel="0" collapsed="false">
      <c r="A7" s="31" t="s">
        <v>209</v>
      </c>
      <c r="B7" s="31" t="s">
        <v>39</v>
      </c>
      <c r="C7" s="32" t="n">
        <v>370</v>
      </c>
      <c r="D7" s="31" t="s">
        <v>200</v>
      </c>
      <c r="E7" s="31" t="s">
        <v>201</v>
      </c>
      <c r="F7" s="31" t="s">
        <v>197</v>
      </c>
      <c r="G7" s="31" t="s">
        <v>212</v>
      </c>
      <c r="H7" s="31" t="s">
        <v>213</v>
      </c>
      <c r="I7" s="33" t="b">
        <f aca="false">IF(Dashboard!$D$25=Dashboard!$D$27,IF($B7=Dashboard!$D$25,IF(Dashboard!$D$26&lt;=Dashboard!$D$28,AND($D7="Away from KL",$C7&gt;=Dashboard!$D$26,$C7&lt;=Dashboard!$D$28),AND($D7="Towards KL",$C7&gt;=Dashboard!$D$28,$C7&lt;=Dashboard!$D$26)),FALSE()),OR(AND($B7=Dashboard!$D$25,$D7="Towards KL",$C7&lt;=Dashboard!$D$26),AND($B7=Dashboard!$D$27,$D7="Away from KL",$C7&lt;=Dashboard!$D$28)))</f>
        <v>1</v>
      </c>
    </row>
    <row r="8" customFormat="false" ht="15" hidden="false" customHeight="false" outlineLevel="0" collapsed="false">
      <c r="A8" s="31" t="s">
        <v>214</v>
      </c>
      <c r="B8" s="31" t="s">
        <v>39</v>
      </c>
      <c r="C8" s="32" t="n">
        <v>335</v>
      </c>
      <c r="D8" s="31" t="s">
        <v>195</v>
      </c>
      <c r="E8" s="31" t="s">
        <v>196</v>
      </c>
      <c r="F8" s="31" t="s">
        <v>197</v>
      </c>
      <c r="G8" s="31" t="s">
        <v>215</v>
      </c>
      <c r="H8" s="31" t="s">
        <v>216</v>
      </c>
      <c r="I8" s="33" t="b">
        <f aca="false">IF(Dashboard!$D$25=Dashboard!$D$27,IF($B8=Dashboard!$D$25,IF(Dashboard!$D$26&lt;=Dashboard!$D$28,AND($D8="Away from KL",$C8&gt;=Dashboard!$D$26,$C8&lt;=Dashboard!$D$28),AND($D8="Towards KL",$C8&gt;=Dashboard!$D$28,$C8&lt;=Dashboard!$D$26)),FALSE()),OR(AND($B8=Dashboard!$D$25,$D8="Towards KL",$C8&lt;=Dashboard!$D$26),AND($B8=Dashboard!$D$27,$D8="Away from KL",$C8&lt;=Dashboard!$D$28)))</f>
        <v>0</v>
      </c>
    </row>
    <row r="9" customFormat="false" ht="15" hidden="false" customHeight="false" outlineLevel="0" collapsed="false">
      <c r="A9" s="31" t="s">
        <v>214</v>
      </c>
      <c r="B9" s="31" t="s">
        <v>39</v>
      </c>
      <c r="C9" s="32" t="n">
        <v>335</v>
      </c>
      <c r="D9" s="31" t="s">
        <v>200</v>
      </c>
      <c r="E9" s="31" t="s">
        <v>201</v>
      </c>
      <c r="F9" s="31" t="s">
        <v>197</v>
      </c>
      <c r="G9" s="31" t="s">
        <v>207</v>
      </c>
      <c r="H9" s="31" t="s">
        <v>217</v>
      </c>
      <c r="I9" s="33" t="b">
        <f aca="false">IF(Dashboard!$D$25=Dashboard!$D$27,IF($B9=Dashboard!$D$25,IF(Dashboard!$D$26&lt;=Dashboard!$D$28,AND($D9="Away from KL",$C9&gt;=Dashboard!$D$26,$C9&lt;=Dashboard!$D$28),AND($D9="Towards KL",$C9&gt;=Dashboard!$D$28,$C9&lt;=Dashboard!$D$26)),FALSE()),OR(AND($B9=Dashboard!$D$25,$D9="Towards KL",$C9&lt;=Dashboard!$D$26),AND($B9=Dashboard!$D$27,$D9="Away from KL",$C9&lt;=Dashboard!$D$28)))</f>
        <v>1</v>
      </c>
    </row>
    <row r="10" customFormat="false" ht="15" hidden="false" customHeight="false" outlineLevel="0" collapsed="false">
      <c r="A10" s="31" t="s">
        <v>218</v>
      </c>
      <c r="B10" s="31" t="s">
        <v>39</v>
      </c>
      <c r="C10" s="32" t="n">
        <v>320</v>
      </c>
      <c r="D10" s="31" t="s">
        <v>200</v>
      </c>
      <c r="E10" s="31" t="s">
        <v>201</v>
      </c>
      <c r="F10" s="31" t="s">
        <v>203</v>
      </c>
      <c r="G10" s="31" t="s">
        <v>204</v>
      </c>
      <c r="H10" s="31" t="s">
        <v>219</v>
      </c>
      <c r="I10" s="33" t="b">
        <f aca="false">IF(Dashboard!$D$25=Dashboard!$D$27,IF($B10=Dashboard!$D$25,IF(Dashboard!$D$26&lt;=Dashboard!$D$28,AND($D10="Away from KL",$C10&gt;=Dashboard!$D$26,$C10&lt;=Dashboard!$D$28),AND($D10="Towards KL",$C10&gt;=Dashboard!$D$28,$C10&lt;=Dashboard!$D$26)),FALSE()),OR(AND($B10=Dashboard!$D$25,$D10="Towards KL",$C10&lt;=Dashboard!$D$26),AND($B10=Dashboard!$D$27,$D10="Away from KL",$C10&lt;=Dashboard!$D$28)))</f>
        <v>1</v>
      </c>
    </row>
    <row r="11" customFormat="false" ht="15" hidden="false" customHeight="false" outlineLevel="0" collapsed="false">
      <c r="A11" s="31" t="s">
        <v>220</v>
      </c>
      <c r="B11" s="31" t="s">
        <v>39</v>
      </c>
      <c r="C11" s="32" t="n">
        <v>280</v>
      </c>
      <c r="D11" s="31" t="s">
        <v>195</v>
      </c>
      <c r="E11" s="31" t="s">
        <v>196</v>
      </c>
      <c r="F11" s="31" t="s">
        <v>197</v>
      </c>
      <c r="G11" s="31" t="s">
        <v>210</v>
      </c>
      <c r="H11" s="31" t="s">
        <v>221</v>
      </c>
      <c r="I11" s="33" t="b">
        <f aca="false">IF(Dashboard!$D$25=Dashboard!$D$27,IF($B11=Dashboard!$D$25,IF(Dashboard!$D$26&lt;=Dashboard!$D$28,AND($D11="Away from KL",$C11&gt;=Dashboard!$D$26,$C11&lt;=Dashboard!$D$28),AND($D11="Towards KL",$C11&gt;=Dashboard!$D$28,$C11&lt;=Dashboard!$D$26)),FALSE()),OR(AND($B11=Dashboard!$D$25,$D11="Towards KL",$C11&lt;=Dashboard!$D$26),AND($B11=Dashboard!$D$27,$D11="Away from KL",$C11&lt;=Dashboard!$D$28)))</f>
        <v>0</v>
      </c>
    </row>
    <row r="12" customFormat="false" ht="15" hidden="false" customHeight="false" outlineLevel="0" collapsed="false">
      <c r="A12" s="31" t="s">
        <v>220</v>
      </c>
      <c r="B12" s="31" t="s">
        <v>39</v>
      </c>
      <c r="C12" s="32" t="n">
        <v>280</v>
      </c>
      <c r="D12" s="31" t="s">
        <v>200</v>
      </c>
      <c r="E12" s="31" t="s">
        <v>201</v>
      </c>
      <c r="F12" s="31" t="s">
        <v>197</v>
      </c>
      <c r="G12" s="31" t="s">
        <v>207</v>
      </c>
      <c r="H12" s="31" t="s">
        <v>222</v>
      </c>
      <c r="I12" s="33" t="b">
        <f aca="false">IF(Dashboard!$D$25=Dashboard!$D$27,IF($B12=Dashboard!$D$25,IF(Dashboard!$D$26&lt;=Dashboard!$D$28,AND($D12="Away from KL",$C12&gt;=Dashboard!$D$26,$C12&lt;=Dashboard!$D$28),AND($D12="Towards KL",$C12&gt;=Dashboard!$D$28,$C12&lt;=Dashboard!$D$26)),FALSE()),OR(AND($B12=Dashboard!$D$25,$D12="Towards KL",$C12&lt;=Dashboard!$D$26),AND($B12=Dashboard!$D$27,$D12="Away from KL",$C12&lt;=Dashboard!$D$28)))</f>
        <v>1</v>
      </c>
    </row>
    <row r="13" customFormat="false" ht="15" hidden="false" customHeight="false" outlineLevel="0" collapsed="false">
      <c r="A13" s="31" t="s">
        <v>223</v>
      </c>
      <c r="B13" s="31" t="s">
        <v>39</v>
      </c>
      <c r="C13" s="32" t="n">
        <v>270</v>
      </c>
      <c r="D13" s="31" t="s">
        <v>195</v>
      </c>
      <c r="E13" s="31" t="s">
        <v>196</v>
      </c>
      <c r="F13" s="31" t="s">
        <v>197</v>
      </c>
      <c r="G13" s="31" t="s">
        <v>210</v>
      </c>
      <c r="H13" s="31" t="s">
        <v>224</v>
      </c>
      <c r="I13" s="33" t="b">
        <f aca="false">IF(Dashboard!$D$25=Dashboard!$D$27,IF($B13=Dashboard!$D$25,IF(Dashboard!$D$26&lt;=Dashboard!$D$28,AND($D13="Away from KL",$C13&gt;=Dashboard!$D$26,$C13&lt;=Dashboard!$D$28),AND($D13="Towards KL",$C13&gt;=Dashboard!$D$28,$C13&lt;=Dashboard!$D$26)),FALSE()),OR(AND($B13=Dashboard!$D$25,$D13="Towards KL",$C13&lt;=Dashboard!$D$26),AND($B13=Dashboard!$D$27,$D13="Away from KL",$C13&lt;=Dashboard!$D$28)))</f>
        <v>0</v>
      </c>
    </row>
    <row r="14" customFormat="false" ht="15" hidden="false" customHeight="false" outlineLevel="0" collapsed="false">
      <c r="A14" s="31" t="s">
        <v>223</v>
      </c>
      <c r="B14" s="31" t="s">
        <v>39</v>
      </c>
      <c r="C14" s="32" t="n">
        <v>270</v>
      </c>
      <c r="D14" s="31" t="s">
        <v>200</v>
      </c>
      <c r="E14" s="31" t="s">
        <v>201</v>
      </c>
      <c r="F14" s="31" t="s">
        <v>197</v>
      </c>
      <c r="G14" s="31" t="s">
        <v>207</v>
      </c>
      <c r="H14" s="31" t="s">
        <v>225</v>
      </c>
      <c r="I14" s="33" t="b">
        <f aca="false">IF(Dashboard!$D$25=Dashboard!$D$27,IF($B14=Dashboard!$D$25,IF(Dashboard!$D$26&lt;=Dashboard!$D$28,AND($D14="Away from KL",$C14&gt;=Dashboard!$D$26,$C14&lt;=Dashboard!$D$28),AND($D14="Towards KL",$C14&gt;=Dashboard!$D$28,$C14&lt;=Dashboard!$D$26)),FALSE()),OR(AND($B14=Dashboard!$D$25,$D14="Towards KL",$C14&lt;=Dashboard!$D$26),AND($B14=Dashboard!$D$27,$D14="Away from KL",$C14&lt;=Dashboard!$D$28)))</f>
        <v>1</v>
      </c>
    </row>
    <row r="15" customFormat="false" ht="15" hidden="false" customHeight="false" outlineLevel="0" collapsed="false">
      <c r="A15" s="31" t="s">
        <v>226</v>
      </c>
      <c r="B15" s="31" t="s">
        <v>39</v>
      </c>
      <c r="C15" s="32" t="n">
        <v>215</v>
      </c>
      <c r="D15" s="31" t="s">
        <v>195</v>
      </c>
      <c r="E15" s="31" t="s">
        <v>196</v>
      </c>
      <c r="F15" s="31" t="s">
        <v>197</v>
      </c>
      <c r="G15" s="31" t="s">
        <v>210</v>
      </c>
      <c r="H15" s="31" t="s">
        <v>227</v>
      </c>
      <c r="I15" s="33" t="b">
        <f aca="false">IF(Dashboard!$D$25=Dashboard!$D$27,IF($B15=Dashboard!$D$25,IF(Dashboard!$D$26&lt;=Dashboard!$D$28,AND($D15="Away from KL",$C15&gt;=Dashboard!$D$26,$C15&lt;=Dashboard!$D$28),AND($D15="Towards KL",$C15&gt;=Dashboard!$D$28,$C15&lt;=Dashboard!$D$26)),FALSE()),OR(AND($B15=Dashboard!$D$25,$D15="Towards KL",$C15&lt;=Dashboard!$D$26),AND($B15=Dashboard!$D$27,$D15="Away from KL",$C15&lt;=Dashboard!$D$28)))</f>
        <v>0</v>
      </c>
    </row>
    <row r="16" customFormat="false" ht="15" hidden="false" customHeight="false" outlineLevel="0" collapsed="false">
      <c r="A16" s="31" t="s">
        <v>226</v>
      </c>
      <c r="B16" s="31" t="s">
        <v>39</v>
      </c>
      <c r="C16" s="32" t="n">
        <v>215</v>
      </c>
      <c r="D16" s="31" t="s">
        <v>200</v>
      </c>
      <c r="E16" s="31" t="s">
        <v>201</v>
      </c>
      <c r="F16" s="31" t="s">
        <v>197</v>
      </c>
      <c r="G16" s="31" t="s">
        <v>228</v>
      </c>
      <c r="H16" s="31" t="s">
        <v>229</v>
      </c>
      <c r="I16" s="33" t="b">
        <f aca="false">IF(Dashboard!$D$25=Dashboard!$D$27,IF($B16=Dashboard!$D$25,IF(Dashboard!$D$26&lt;=Dashboard!$D$28,AND($D16="Away from KL",$C16&gt;=Dashboard!$D$26,$C16&lt;=Dashboard!$D$28),AND($D16="Towards KL",$C16&gt;=Dashboard!$D$28,$C16&lt;=Dashboard!$D$26)),FALSE()),OR(AND($B16=Dashboard!$D$25,$D16="Towards KL",$C16&lt;=Dashboard!$D$26),AND($B16=Dashboard!$D$27,$D16="Away from KL",$C16&lt;=Dashboard!$D$28)))</f>
        <v>1</v>
      </c>
    </row>
    <row r="17" customFormat="false" ht="15" hidden="false" customHeight="false" outlineLevel="0" collapsed="false">
      <c r="A17" s="31" t="s">
        <v>230</v>
      </c>
      <c r="B17" s="31" t="s">
        <v>39</v>
      </c>
      <c r="C17" s="32" t="n">
        <v>180</v>
      </c>
      <c r="D17" s="31" t="s">
        <v>195</v>
      </c>
      <c r="E17" s="31" t="s">
        <v>196</v>
      </c>
      <c r="F17" s="31" t="s">
        <v>203</v>
      </c>
      <c r="G17" s="31" t="s">
        <v>204</v>
      </c>
      <c r="H17" s="31" t="s">
        <v>231</v>
      </c>
      <c r="I17" s="33" t="b">
        <f aca="false">IF(Dashboard!$D$25=Dashboard!$D$27,IF($B17=Dashboard!$D$25,IF(Dashboard!$D$26&lt;=Dashboard!$D$28,AND($D17="Away from KL",$C17&gt;=Dashboard!$D$26,$C17&lt;=Dashboard!$D$28),AND($D17="Towards KL",$C17&gt;=Dashboard!$D$28,$C17&lt;=Dashboard!$D$26)),FALSE()),OR(AND($B17=Dashboard!$D$25,$D17="Towards KL",$C17&lt;=Dashboard!$D$26),AND($B17=Dashboard!$D$27,$D17="Away from KL",$C17&lt;=Dashboard!$D$28)))</f>
        <v>0</v>
      </c>
    </row>
    <row r="18" customFormat="false" ht="15" hidden="false" customHeight="false" outlineLevel="0" collapsed="false">
      <c r="A18" s="31" t="s">
        <v>232</v>
      </c>
      <c r="B18" s="31" t="s">
        <v>39</v>
      </c>
      <c r="C18" s="32" t="n">
        <v>170</v>
      </c>
      <c r="D18" s="31" t="s">
        <v>195</v>
      </c>
      <c r="E18" s="31" t="s">
        <v>196</v>
      </c>
      <c r="F18" s="31" t="s">
        <v>197</v>
      </c>
      <c r="G18" s="31" t="s">
        <v>207</v>
      </c>
      <c r="H18" s="31" t="s">
        <v>233</v>
      </c>
      <c r="I18" s="33" t="b">
        <f aca="false">IF(Dashboard!$D$25=Dashboard!$D$27,IF($B18=Dashboard!$D$25,IF(Dashboard!$D$26&lt;=Dashboard!$D$28,AND($D18="Away from KL",$C18&gt;=Dashboard!$D$26,$C18&lt;=Dashboard!$D$28),AND($D18="Towards KL",$C18&gt;=Dashboard!$D$28,$C18&lt;=Dashboard!$D$26)),FALSE()),OR(AND($B18=Dashboard!$D$25,$D18="Towards KL",$C18&lt;=Dashboard!$D$26),AND($B18=Dashboard!$D$27,$D18="Away from KL",$C18&lt;=Dashboard!$D$28)))</f>
        <v>0</v>
      </c>
    </row>
    <row r="19" customFormat="false" ht="15" hidden="false" customHeight="false" outlineLevel="0" collapsed="false">
      <c r="A19" s="31" t="s">
        <v>232</v>
      </c>
      <c r="B19" s="31" t="s">
        <v>39</v>
      </c>
      <c r="C19" s="32" t="n">
        <v>170</v>
      </c>
      <c r="D19" s="31" t="s">
        <v>200</v>
      </c>
      <c r="E19" s="31" t="s">
        <v>201</v>
      </c>
      <c r="F19" s="31" t="s">
        <v>197</v>
      </c>
      <c r="G19" s="31" t="s">
        <v>210</v>
      </c>
      <c r="H19" s="31" t="s">
        <v>234</v>
      </c>
      <c r="I19" s="33" t="b">
        <f aca="false">IF(Dashboard!$D$25=Dashboard!$D$27,IF($B19=Dashboard!$D$25,IF(Dashboard!$D$26&lt;=Dashboard!$D$28,AND($D19="Away from KL",$C19&gt;=Dashboard!$D$26,$C19&lt;=Dashboard!$D$28),AND($D19="Towards KL",$C19&gt;=Dashboard!$D$28,$C19&lt;=Dashboard!$D$26)),FALSE()),OR(AND($B19=Dashboard!$D$25,$D19="Towards KL",$C19&lt;=Dashboard!$D$26),AND($B19=Dashboard!$D$27,$D19="Away from KL",$C19&lt;=Dashboard!$D$28)))</f>
        <v>1</v>
      </c>
    </row>
    <row r="20" customFormat="false" ht="15" hidden="false" customHeight="false" outlineLevel="0" collapsed="false">
      <c r="A20" s="31" t="s">
        <v>235</v>
      </c>
      <c r="B20" s="31" t="s">
        <v>39</v>
      </c>
      <c r="C20" s="32" t="n">
        <v>145</v>
      </c>
      <c r="D20" s="31" t="s">
        <v>195</v>
      </c>
      <c r="E20" s="31" t="s">
        <v>196</v>
      </c>
      <c r="F20" s="31" t="s">
        <v>197</v>
      </c>
      <c r="G20" s="31" t="s">
        <v>207</v>
      </c>
      <c r="H20" s="31" t="s">
        <v>236</v>
      </c>
      <c r="I20" s="33" t="b">
        <f aca="false">IF(Dashboard!$D$25=Dashboard!$D$27,IF($B20=Dashboard!$D$25,IF(Dashboard!$D$26&lt;=Dashboard!$D$28,AND($D20="Away from KL",$C20&gt;=Dashboard!$D$26,$C20&lt;=Dashboard!$D$28),AND($D20="Towards KL",$C20&gt;=Dashboard!$D$28,$C20&lt;=Dashboard!$D$26)),FALSE()),OR(AND($B20=Dashboard!$D$25,$D20="Towards KL",$C20&lt;=Dashboard!$D$26),AND($B20=Dashboard!$D$27,$D20="Away from KL",$C20&lt;=Dashboard!$D$28)))</f>
        <v>0</v>
      </c>
    </row>
    <row r="21" customFormat="false" ht="15" hidden="false" customHeight="false" outlineLevel="0" collapsed="false">
      <c r="A21" s="31" t="s">
        <v>235</v>
      </c>
      <c r="B21" s="31" t="s">
        <v>39</v>
      </c>
      <c r="C21" s="32" t="n">
        <v>145</v>
      </c>
      <c r="D21" s="31" t="s">
        <v>200</v>
      </c>
      <c r="E21" s="31" t="s">
        <v>201</v>
      </c>
      <c r="F21" s="31" t="s">
        <v>197</v>
      </c>
      <c r="G21" s="31" t="s">
        <v>210</v>
      </c>
      <c r="H21" s="31" t="s">
        <v>237</v>
      </c>
      <c r="I21" s="33" t="b">
        <f aca="false">IF(Dashboard!$D$25=Dashboard!$D$27,IF($B21=Dashboard!$D$25,IF(Dashboard!$D$26&lt;=Dashboard!$D$28,AND($D21="Away from KL",$C21&gt;=Dashboard!$D$26,$C21&lt;=Dashboard!$D$28),AND($D21="Towards KL",$C21&gt;=Dashboard!$D$28,$C21&lt;=Dashboard!$D$26)),FALSE()),OR(AND($B21=Dashboard!$D$25,$D21="Towards KL",$C21&lt;=Dashboard!$D$26),AND($B21=Dashboard!$D$27,$D21="Away from KL",$C21&lt;=Dashboard!$D$28)))</f>
        <v>1</v>
      </c>
    </row>
    <row r="22" customFormat="false" ht="15" hidden="false" customHeight="false" outlineLevel="0" collapsed="false">
      <c r="A22" s="31" t="s">
        <v>238</v>
      </c>
      <c r="B22" s="31" t="s">
        <v>39</v>
      </c>
      <c r="C22" s="32" t="n">
        <v>130</v>
      </c>
      <c r="D22" s="31" t="s">
        <v>195</v>
      </c>
      <c r="E22" s="31" t="s">
        <v>196</v>
      </c>
      <c r="F22" s="31" t="s">
        <v>197</v>
      </c>
      <c r="G22" s="31" t="s">
        <v>210</v>
      </c>
      <c r="H22" s="31" t="s">
        <v>233</v>
      </c>
      <c r="I22" s="33" t="b">
        <f aca="false">IF(Dashboard!$D$25=Dashboard!$D$27,IF($B22=Dashboard!$D$25,IF(Dashboard!$D$26&lt;=Dashboard!$D$28,AND($D22="Away from KL",$C22&gt;=Dashboard!$D$26,$C22&lt;=Dashboard!$D$28),AND($D22="Towards KL",$C22&gt;=Dashboard!$D$28,$C22&lt;=Dashboard!$D$26)),FALSE()),OR(AND($B22=Dashboard!$D$25,$D22="Towards KL",$C22&lt;=Dashboard!$D$26),AND($B22=Dashboard!$D$27,$D22="Away from KL",$C22&lt;=Dashboard!$D$28)))</f>
        <v>0</v>
      </c>
    </row>
    <row r="23" customFormat="false" ht="15" hidden="false" customHeight="false" outlineLevel="0" collapsed="false">
      <c r="A23" s="31" t="s">
        <v>238</v>
      </c>
      <c r="B23" s="31" t="s">
        <v>39</v>
      </c>
      <c r="C23" s="32" t="n">
        <v>130</v>
      </c>
      <c r="D23" s="31" t="s">
        <v>200</v>
      </c>
      <c r="E23" s="31" t="s">
        <v>201</v>
      </c>
      <c r="F23" s="31" t="s">
        <v>197</v>
      </c>
      <c r="G23" s="31" t="s">
        <v>212</v>
      </c>
      <c r="H23" s="31" t="s">
        <v>233</v>
      </c>
      <c r="I23" s="33" t="b">
        <f aca="false">IF(Dashboard!$D$25=Dashboard!$D$27,IF($B23=Dashboard!$D$25,IF(Dashboard!$D$26&lt;=Dashboard!$D$28,AND($D23="Away from KL",$C23&gt;=Dashboard!$D$26,$C23&lt;=Dashboard!$D$28),AND($D23="Towards KL",$C23&gt;=Dashboard!$D$28,$C23&lt;=Dashboard!$D$26)),FALSE()),OR(AND($B23=Dashboard!$D$25,$D23="Towards KL",$C23&lt;=Dashboard!$D$26),AND($B23=Dashboard!$D$27,$D23="Away from KL",$C23&lt;=Dashboard!$D$28)))</f>
        <v>1</v>
      </c>
    </row>
    <row r="24" customFormat="false" ht="15" hidden="false" customHeight="false" outlineLevel="0" collapsed="false">
      <c r="A24" s="31" t="s">
        <v>239</v>
      </c>
      <c r="B24" s="31" t="s">
        <v>39</v>
      </c>
      <c r="C24" s="32" t="n">
        <v>115</v>
      </c>
      <c r="D24" s="31" t="s">
        <v>195</v>
      </c>
      <c r="E24" s="31" t="s">
        <v>196</v>
      </c>
      <c r="F24" s="31" t="s">
        <v>203</v>
      </c>
      <c r="G24" s="31" t="s">
        <v>204</v>
      </c>
      <c r="H24" s="31" t="s">
        <v>240</v>
      </c>
      <c r="I24" s="33" t="b">
        <f aca="false">IF(Dashboard!$D$25=Dashboard!$D$27,IF($B24=Dashboard!$D$25,IF(Dashboard!$D$26&lt;=Dashboard!$D$28,AND($D24="Away from KL",$C24&gt;=Dashboard!$D$26,$C24&lt;=Dashboard!$D$28),AND($D24="Towards KL",$C24&gt;=Dashboard!$D$28,$C24&lt;=Dashboard!$D$26)),FALSE()),OR(AND($B24=Dashboard!$D$25,$D24="Towards KL",$C24&lt;=Dashboard!$D$26),AND($B24=Dashboard!$D$27,$D24="Away from KL",$C24&lt;=Dashboard!$D$28)))</f>
        <v>0</v>
      </c>
    </row>
    <row r="25" customFormat="false" ht="15" hidden="false" customHeight="false" outlineLevel="0" collapsed="false">
      <c r="A25" s="31" t="s">
        <v>241</v>
      </c>
      <c r="B25" s="31" t="s">
        <v>39</v>
      </c>
      <c r="C25" s="32" t="n">
        <v>85</v>
      </c>
      <c r="D25" s="31" t="s">
        <v>195</v>
      </c>
      <c r="E25" s="31" t="s">
        <v>196</v>
      </c>
      <c r="F25" s="31" t="s">
        <v>203</v>
      </c>
      <c r="G25" s="31" t="s">
        <v>207</v>
      </c>
      <c r="H25" s="31" t="s">
        <v>208</v>
      </c>
      <c r="I25" s="33" t="b">
        <f aca="false">IF(Dashboard!$D$25=Dashboard!$D$27,IF($B25=Dashboard!$D$25,IF(Dashboard!$D$26&lt;=Dashboard!$D$28,AND($D25="Away from KL",$C25&gt;=Dashboard!$D$26,$C25&lt;=Dashboard!$D$28),AND($D25="Towards KL",$C25&gt;=Dashboard!$D$28,$C25&lt;=Dashboard!$D$26)),FALSE()),OR(AND($B25=Dashboard!$D$25,$D25="Towards KL",$C25&lt;=Dashboard!$D$26),AND($B25=Dashboard!$D$27,$D25="Away from KL",$C25&lt;=Dashboard!$D$28)))</f>
        <v>0</v>
      </c>
    </row>
    <row r="26" customFormat="false" ht="15" hidden="false" customHeight="false" outlineLevel="0" collapsed="false">
      <c r="A26" s="31" t="s">
        <v>241</v>
      </c>
      <c r="B26" s="31" t="s">
        <v>39</v>
      </c>
      <c r="C26" s="32" t="n">
        <v>85</v>
      </c>
      <c r="D26" s="31" t="s">
        <v>200</v>
      </c>
      <c r="E26" s="31" t="s">
        <v>201</v>
      </c>
      <c r="F26" s="31" t="s">
        <v>203</v>
      </c>
      <c r="G26" s="31" t="s">
        <v>207</v>
      </c>
      <c r="H26" s="31" t="s">
        <v>208</v>
      </c>
      <c r="I26" s="33" t="b">
        <f aca="false">IF(Dashboard!$D$25=Dashboard!$D$27,IF($B26=Dashboard!$D$25,IF(Dashboard!$D$26&lt;=Dashboard!$D$28,AND($D26="Away from KL",$C26&gt;=Dashboard!$D$26,$C26&lt;=Dashboard!$D$28),AND($D26="Towards KL",$C26&gt;=Dashboard!$D$28,$C26&lt;=Dashboard!$D$26)),FALSE()),OR(AND($B26=Dashboard!$D$25,$D26="Towards KL",$C26&lt;=Dashboard!$D$26),AND($B26=Dashboard!$D$27,$D26="Away from KL",$C26&lt;=Dashboard!$D$28)))</f>
        <v>1</v>
      </c>
    </row>
    <row r="27" customFormat="false" ht="15" hidden="false" customHeight="false" outlineLevel="0" collapsed="false">
      <c r="A27" s="31" t="s">
        <v>242</v>
      </c>
      <c r="B27" s="31" t="s">
        <v>39</v>
      </c>
      <c r="C27" s="32" t="n">
        <v>70</v>
      </c>
      <c r="D27" s="31" t="s">
        <v>195</v>
      </c>
      <c r="E27" s="31" t="s">
        <v>196</v>
      </c>
      <c r="F27" s="31" t="s">
        <v>203</v>
      </c>
      <c r="G27" s="31" t="s">
        <v>204</v>
      </c>
      <c r="H27" s="31" t="s">
        <v>231</v>
      </c>
      <c r="I27" s="33" t="b">
        <f aca="false">IF(Dashboard!$D$25=Dashboard!$D$27,IF($B27=Dashboard!$D$25,IF(Dashboard!$D$26&lt;=Dashboard!$D$28,AND($D27="Away from KL",$C27&gt;=Dashboard!$D$26,$C27&lt;=Dashboard!$D$28),AND($D27="Towards KL",$C27&gt;=Dashboard!$D$28,$C27&lt;=Dashboard!$D$26)),FALSE()),OR(AND($B27=Dashboard!$D$25,$D27="Towards KL",$C27&lt;=Dashboard!$D$26),AND($B27=Dashboard!$D$27,$D27="Away from KL",$C27&lt;=Dashboard!$D$28)))</f>
        <v>0</v>
      </c>
    </row>
    <row r="28" customFormat="false" ht="15" hidden="false" customHeight="false" outlineLevel="0" collapsed="false">
      <c r="A28" s="31" t="s">
        <v>243</v>
      </c>
      <c r="B28" s="31" t="s">
        <v>39</v>
      </c>
      <c r="C28" s="32" t="n">
        <v>65</v>
      </c>
      <c r="D28" s="31" t="s">
        <v>200</v>
      </c>
      <c r="E28" s="31" t="s">
        <v>201</v>
      </c>
      <c r="F28" s="31" t="s">
        <v>197</v>
      </c>
      <c r="G28" s="31" t="s">
        <v>210</v>
      </c>
      <c r="H28" s="31" t="s">
        <v>244</v>
      </c>
      <c r="I28" s="33" t="b">
        <f aca="false">IF(Dashboard!$D$25=Dashboard!$D$27,IF($B28=Dashboard!$D$25,IF(Dashboard!$D$26&lt;=Dashboard!$D$28,AND($D28="Away from KL",$C28&gt;=Dashboard!$D$26,$C28&lt;=Dashboard!$D$28),AND($D28="Towards KL",$C28&gt;=Dashboard!$D$28,$C28&lt;=Dashboard!$D$26)),FALSE()),OR(AND($B28=Dashboard!$D$25,$D28="Towards KL",$C28&lt;=Dashboard!$D$26),AND($B28=Dashboard!$D$27,$D28="Away from KL",$C28&lt;=Dashboard!$D$28)))</f>
        <v>1</v>
      </c>
    </row>
    <row r="29" customFormat="false" ht="15" hidden="false" customHeight="false" outlineLevel="0" collapsed="false">
      <c r="A29" s="31" t="s">
        <v>245</v>
      </c>
      <c r="B29" s="31" t="s">
        <v>39</v>
      </c>
      <c r="C29" s="32" t="n">
        <v>25</v>
      </c>
      <c r="D29" s="31" t="s">
        <v>195</v>
      </c>
      <c r="E29" s="31" t="s">
        <v>196</v>
      </c>
      <c r="F29" s="31" t="s">
        <v>197</v>
      </c>
      <c r="G29" s="31" t="s">
        <v>210</v>
      </c>
      <c r="H29" s="31" t="s">
        <v>246</v>
      </c>
      <c r="I29" s="33" t="b">
        <f aca="false">IF(Dashboard!$D$25=Dashboard!$D$27,IF($B29=Dashboard!$D$25,IF(Dashboard!$D$26&lt;=Dashboard!$D$28,AND($D29="Away from KL",$C29&gt;=Dashboard!$D$26,$C29&lt;=Dashboard!$D$28),AND($D29="Towards KL",$C29&gt;=Dashboard!$D$28,$C29&lt;=Dashboard!$D$26)),FALSE()),OR(AND($B29=Dashboard!$D$25,$D29="Towards KL",$C29&lt;=Dashboard!$D$26),AND($B29=Dashboard!$D$27,$D29="Away from KL",$C29&lt;=Dashboard!$D$28)))</f>
        <v>0</v>
      </c>
    </row>
    <row r="30" customFormat="false" ht="15" hidden="false" customHeight="false" outlineLevel="0" collapsed="false">
      <c r="A30" s="31" t="s">
        <v>247</v>
      </c>
      <c r="B30" s="31" t="s">
        <v>39</v>
      </c>
      <c r="C30" s="32" t="n">
        <v>15</v>
      </c>
      <c r="D30" s="31" t="s">
        <v>200</v>
      </c>
      <c r="E30" s="31" t="s">
        <v>201</v>
      </c>
      <c r="F30" s="31" t="s">
        <v>203</v>
      </c>
      <c r="G30" s="31" t="s">
        <v>207</v>
      </c>
      <c r="H30" s="31" t="s">
        <v>248</v>
      </c>
      <c r="I30" s="33" t="b">
        <f aca="false">IF(Dashboard!$D$25=Dashboard!$D$27,IF($B30=Dashboard!$D$25,IF(Dashboard!$D$26&lt;=Dashboard!$D$28,AND($D30="Away from KL",$C30&gt;=Dashboard!$D$26,$C30&lt;=Dashboard!$D$28),AND($D30="Towards KL",$C30&gt;=Dashboard!$D$28,$C30&lt;=Dashboard!$D$26)),FALSE()),OR(AND($B30=Dashboard!$D$25,$D30="Towards KL",$C30&lt;=Dashboard!$D$26),AND($B30=Dashboard!$D$27,$D30="Away from KL",$C30&lt;=Dashboard!$D$28)))</f>
        <v>1</v>
      </c>
    </row>
    <row r="31" customFormat="false" ht="15" hidden="false" customHeight="false" outlineLevel="0" collapsed="false">
      <c r="A31" s="31" t="s">
        <v>249</v>
      </c>
      <c r="B31" s="31" t="s">
        <v>73</v>
      </c>
      <c r="C31" s="32" t="n">
        <v>40</v>
      </c>
      <c r="D31" s="31" t="s">
        <v>195</v>
      </c>
      <c r="E31" s="31" t="s">
        <v>201</v>
      </c>
      <c r="F31" s="31" t="s">
        <v>203</v>
      </c>
      <c r="G31" s="31" t="s">
        <v>204</v>
      </c>
      <c r="H31" s="31" t="s">
        <v>231</v>
      </c>
      <c r="I31" s="33" t="b">
        <f aca="false">IF(Dashboard!$D$25=Dashboard!$D$27,IF($B31=Dashboard!$D$25,IF(Dashboard!$D$26&lt;=Dashboard!$D$28,AND($D31="Away from KL",$C31&gt;=Dashboard!$D$26,$C31&lt;=Dashboard!$D$28),AND($D31="Towards KL",$C31&gt;=Dashboard!$D$28,$C31&lt;=Dashboard!$D$26)),FALSE()),OR(AND($B31=Dashboard!$D$25,$D31="Towards KL",$C31&lt;=Dashboard!$D$26),AND($B31=Dashboard!$D$27,$D31="Away from KL",$C31&lt;=Dashboard!$D$28)))</f>
        <v>0</v>
      </c>
    </row>
    <row r="32" customFormat="false" ht="15" hidden="false" customHeight="false" outlineLevel="0" collapsed="false">
      <c r="A32" s="31" t="s">
        <v>250</v>
      </c>
      <c r="B32" s="31" t="s">
        <v>73</v>
      </c>
      <c r="C32" s="32" t="n">
        <v>55</v>
      </c>
      <c r="D32" s="31" t="s">
        <v>195</v>
      </c>
      <c r="E32" s="31" t="s">
        <v>201</v>
      </c>
      <c r="F32" s="31" t="s">
        <v>203</v>
      </c>
      <c r="G32" s="31" t="s">
        <v>210</v>
      </c>
      <c r="H32" s="31" t="s">
        <v>251</v>
      </c>
      <c r="I32" s="33" t="b">
        <f aca="false">IF(Dashboard!$D$25=Dashboard!$D$27,IF($B32=Dashboard!$D$25,IF(Dashboard!$D$26&lt;=Dashboard!$D$28,AND($D32="Away from KL",$C32&gt;=Dashboard!$D$26,$C32&lt;=Dashboard!$D$28),AND($D32="Towards KL",$C32&gt;=Dashboard!$D$28,$C32&lt;=Dashboard!$D$26)),FALSE()),OR(AND($B32=Dashboard!$D$25,$D32="Towards KL",$C32&lt;=Dashboard!$D$26),AND($B32=Dashboard!$D$27,$D32="Away from KL",$C32&lt;=Dashboard!$D$28)))</f>
        <v>0</v>
      </c>
    </row>
    <row r="33" customFormat="false" ht="15" hidden="false" customHeight="false" outlineLevel="0" collapsed="false">
      <c r="A33" s="31" t="s">
        <v>252</v>
      </c>
      <c r="B33" s="31" t="s">
        <v>73</v>
      </c>
      <c r="C33" s="32" t="n">
        <v>70</v>
      </c>
      <c r="D33" s="31" t="s">
        <v>195</v>
      </c>
      <c r="E33" s="31" t="s">
        <v>201</v>
      </c>
      <c r="F33" s="31" t="s">
        <v>203</v>
      </c>
      <c r="G33" s="31" t="s">
        <v>207</v>
      </c>
      <c r="H33" s="31" t="s">
        <v>253</v>
      </c>
      <c r="I33" s="33" t="b">
        <f aca="false">IF(Dashboard!$D$25=Dashboard!$D$27,IF($B33=Dashboard!$D$25,IF(Dashboard!$D$26&lt;=Dashboard!$D$28,AND($D33="Away from KL",$C33&gt;=Dashboard!$D$26,$C33&lt;=Dashboard!$D$28),AND($D33="Towards KL",$C33&gt;=Dashboard!$D$28,$C33&lt;=Dashboard!$D$26)),FALSE()),OR(AND($B33=Dashboard!$D$25,$D33="Towards KL",$C33&lt;=Dashboard!$D$26),AND($B33=Dashboard!$D$27,$D33="Away from KL",$C33&lt;=Dashboard!$D$28)))</f>
        <v>0</v>
      </c>
    </row>
    <row r="34" customFormat="false" ht="15" hidden="false" customHeight="false" outlineLevel="0" collapsed="false">
      <c r="A34" s="31" t="s">
        <v>254</v>
      </c>
      <c r="B34" s="31" t="s">
        <v>84</v>
      </c>
      <c r="C34" s="32" t="n">
        <v>5</v>
      </c>
      <c r="D34" s="31" t="s">
        <v>195</v>
      </c>
      <c r="E34" s="31" t="s">
        <v>201</v>
      </c>
      <c r="F34" s="31" t="s">
        <v>203</v>
      </c>
      <c r="G34" s="31" t="s">
        <v>204</v>
      </c>
      <c r="H34" s="31" t="s">
        <v>248</v>
      </c>
      <c r="I34" s="33" t="b">
        <f aca="false">IF(Dashboard!$D$25=Dashboard!$D$27,IF($B34=Dashboard!$D$25,IF(Dashboard!$D$26&lt;=Dashboard!$D$28,AND($D34="Away from KL",$C34&gt;=Dashboard!$D$26,$C34&lt;=Dashboard!$D$28),AND($D34="Towards KL",$C34&gt;=Dashboard!$D$28,$C34&lt;=Dashboard!$D$26)),FALSE()),OR(AND($B34=Dashboard!$D$25,$D34="Towards KL",$C34&lt;=Dashboard!$D$26),AND($B34=Dashboard!$D$27,$D34="Away from KL",$C34&lt;=Dashboard!$D$28)))</f>
        <v>1</v>
      </c>
    </row>
    <row r="35" customFormat="false" ht="15" hidden="false" customHeight="false" outlineLevel="0" collapsed="false">
      <c r="A35" s="31" t="s">
        <v>255</v>
      </c>
      <c r="B35" s="31" t="s">
        <v>84</v>
      </c>
      <c r="C35" s="32" t="n">
        <v>10</v>
      </c>
      <c r="D35" s="31" t="s">
        <v>200</v>
      </c>
      <c r="E35" s="31" t="s">
        <v>196</v>
      </c>
      <c r="F35" s="31" t="s">
        <v>203</v>
      </c>
      <c r="G35" s="31" t="s">
        <v>207</v>
      </c>
      <c r="H35" s="31" t="s">
        <v>256</v>
      </c>
      <c r="I35" s="33" t="b">
        <f aca="false">IF(Dashboard!$D$25=Dashboard!$D$27,IF($B35=Dashboard!$D$25,IF(Dashboard!$D$26&lt;=Dashboard!$D$28,AND($D35="Away from KL",$C35&gt;=Dashboard!$D$26,$C35&lt;=Dashboard!$D$28),AND($D35="Towards KL",$C35&gt;=Dashboard!$D$28,$C35&lt;=Dashboard!$D$26)),FALSE()),OR(AND($B35=Dashboard!$D$25,$D35="Towards KL",$C35&lt;=Dashboard!$D$26),AND($B35=Dashboard!$D$27,$D35="Away from KL",$C35&lt;=Dashboard!$D$28)))</f>
        <v>0</v>
      </c>
    </row>
    <row r="36" customFormat="false" ht="15" hidden="false" customHeight="false" outlineLevel="0" collapsed="false">
      <c r="A36" s="31" t="s">
        <v>257</v>
      </c>
      <c r="B36" s="31" t="s">
        <v>84</v>
      </c>
      <c r="C36" s="32" t="n">
        <v>55</v>
      </c>
      <c r="D36" s="31" t="s">
        <v>195</v>
      </c>
      <c r="E36" s="31" t="s">
        <v>201</v>
      </c>
      <c r="F36" s="31" t="s">
        <v>197</v>
      </c>
      <c r="G36" s="31" t="s">
        <v>198</v>
      </c>
      <c r="H36" s="31" t="s">
        <v>258</v>
      </c>
      <c r="I36" s="33" t="b">
        <f aca="false">IF(Dashboard!$D$25=Dashboard!$D$27,IF($B36=Dashboard!$D$25,IF(Dashboard!$D$26&lt;=Dashboard!$D$28,AND($D36="Away from KL",$C36&gt;=Dashboard!$D$26,$C36&lt;=Dashboard!$D$28),AND($D36="Towards KL",$C36&gt;=Dashboard!$D$28,$C36&lt;=Dashboard!$D$26)),FALSE()),OR(AND($B36=Dashboard!$D$25,$D36="Towards KL",$C36&lt;=Dashboard!$D$26),AND($B36=Dashboard!$D$27,$D36="Away from KL",$C36&lt;=Dashboard!$D$28)))</f>
        <v>1</v>
      </c>
    </row>
    <row r="37" customFormat="false" ht="15" hidden="false" customHeight="false" outlineLevel="0" collapsed="false">
      <c r="A37" s="31" t="s">
        <v>257</v>
      </c>
      <c r="B37" s="31" t="s">
        <v>84</v>
      </c>
      <c r="C37" s="32" t="n">
        <v>55</v>
      </c>
      <c r="D37" s="31" t="s">
        <v>200</v>
      </c>
      <c r="E37" s="31" t="s">
        <v>196</v>
      </c>
      <c r="F37" s="31" t="s">
        <v>197</v>
      </c>
      <c r="G37" s="31" t="s">
        <v>207</v>
      </c>
      <c r="H37" s="31" t="s">
        <v>259</v>
      </c>
      <c r="I37" s="33" t="b">
        <f aca="false">IF(Dashboard!$D$25=Dashboard!$D$27,IF($B37=Dashboard!$D$25,IF(Dashboard!$D$26&lt;=Dashboard!$D$28,AND($D37="Away from KL",$C37&gt;=Dashboard!$D$26,$C37&lt;=Dashboard!$D$28),AND($D37="Towards KL",$C37&gt;=Dashboard!$D$28,$C37&lt;=Dashboard!$D$26)),FALSE()),OR(AND($B37=Dashboard!$D$25,$D37="Towards KL",$C37&lt;=Dashboard!$D$26),AND($B37=Dashboard!$D$27,$D37="Away from KL",$C37&lt;=Dashboard!$D$28)))</f>
        <v>0</v>
      </c>
    </row>
    <row r="38" customFormat="false" ht="15" hidden="false" customHeight="false" outlineLevel="0" collapsed="false">
      <c r="A38" s="31" t="s">
        <v>260</v>
      </c>
      <c r="B38" s="31" t="s">
        <v>84</v>
      </c>
      <c r="C38" s="32" t="n">
        <v>70</v>
      </c>
      <c r="D38" s="31" t="s">
        <v>195</v>
      </c>
      <c r="E38" s="31" t="s">
        <v>201</v>
      </c>
      <c r="F38" s="31" t="s">
        <v>203</v>
      </c>
      <c r="G38" s="31" t="s">
        <v>204</v>
      </c>
      <c r="H38" s="31" t="s">
        <v>219</v>
      </c>
      <c r="I38" s="33" t="b">
        <f aca="false">IF(Dashboard!$D$25=Dashboard!$D$27,IF($B38=Dashboard!$D$25,IF(Dashboard!$D$26&lt;=Dashboard!$D$28,AND($D38="Away from KL",$C38&gt;=Dashboard!$D$26,$C38&lt;=Dashboard!$D$28),AND($D38="Towards KL",$C38&gt;=Dashboard!$D$28,$C38&lt;=Dashboard!$D$26)),FALSE()),OR(AND($B38=Dashboard!$D$25,$D38="Towards KL",$C38&lt;=Dashboard!$D$26),AND($B38=Dashboard!$D$27,$D38="Away from KL",$C38&lt;=Dashboard!$D$28)))</f>
        <v>1</v>
      </c>
    </row>
    <row r="39" customFormat="false" ht="15" hidden="false" customHeight="false" outlineLevel="0" collapsed="false">
      <c r="A39" s="31" t="s">
        <v>261</v>
      </c>
      <c r="B39" s="31" t="s">
        <v>84</v>
      </c>
      <c r="C39" s="32" t="n">
        <v>135</v>
      </c>
      <c r="D39" s="31" t="s">
        <v>195</v>
      </c>
      <c r="E39" s="31" t="s">
        <v>201</v>
      </c>
      <c r="F39" s="31" t="s">
        <v>197</v>
      </c>
      <c r="G39" s="31" t="s">
        <v>215</v>
      </c>
      <c r="H39" s="31" t="s">
        <v>262</v>
      </c>
      <c r="I39" s="33" t="b">
        <f aca="false">IF(Dashboard!$D$25=Dashboard!$D$27,IF($B39=Dashboard!$D$25,IF(Dashboard!$D$26&lt;=Dashboard!$D$28,AND($D39="Away from KL",$C39&gt;=Dashboard!$D$26,$C39&lt;=Dashboard!$D$28),AND($D39="Towards KL",$C39&gt;=Dashboard!$D$28,$C39&lt;=Dashboard!$D$26)),FALSE()),OR(AND($B39=Dashboard!$D$25,$D39="Towards KL",$C39&lt;=Dashboard!$D$26),AND($B39=Dashboard!$D$27,$D39="Away from KL",$C39&lt;=Dashboard!$D$28)))</f>
        <v>1</v>
      </c>
    </row>
    <row r="40" customFormat="false" ht="15" hidden="false" customHeight="false" outlineLevel="0" collapsed="false">
      <c r="A40" s="31" t="s">
        <v>261</v>
      </c>
      <c r="B40" s="31" t="s">
        <v>84</v>
      </c>
      <c r="C40" s="32" t="n">
        <v>135</v>
      </c>
      <c r="D40" s="31" t="s">
        <v>200</v>
      </c>
      <c r="E40" s="31" t="s">
        <v>196</v>
      </c>
      <c r="F40" s="31" t="s">
        <v>197</v>
      </c>
      <c r="G40" s="31" t="s">
        <v>212</v>
      </c>
      <c r="H40" s="31" t="s">
        <v>263</v>
      </c>
      <c r="I40" s="33" t="b">
        <f aca="false">IF(Dashboard!$D$25=Dashboard!$D$27,IF($B40=Dashboard!$D$25,IF(Dashboard!$D$26&lt;=Dashboard!$D$28,AND($D40="Away from KL",$C40&gt;=Dashboard!$D$26,$C40&lt;=Dashboard!$D$28),AND($D40="Towards KL",$C40&gt;=Dashboard!$D$28,$C40&lt;=Dashboard!$D$26)),FALSE()),OR(AND($B40=Dashboard!$D$25,$D40="Towards KL",$C40&lt;=Dashboard!$D$26),AND($B40=Dashboard!$D$27,$D40="Away from KL",$C40&lt;=Dashboard!$D$28)))</f>
        <v>0</v>
      </c>
    </row>
    <row r="41" customFormat="false" ht="15" hidden="false" customHeight="false" outlineLevel="0" collapsed="false">
      <c r="A41" s="31" t="s">
        <v>264</v>
      </c>
      <c r="B41" s="31" t="s">
        <v>84</v>
      </c>
      <c r="C41" s="32" t="n">
        <v>155</v>
      </c>
      <c r="D41" s="31" t="s">
        <v>195</v>
      </c>
      <c r="E41" s="31" t="s">
        <v>201</v>
      </c>
      <c r="F41" s="31" t="s">
        <v>197</v>
      </c>
      <c r="G41" s="31" t="s">
        <v>210</v>
      </c>
      <c r="H41" s="31" t="s">
        <v>222</v>
      </c>
      <c r="I41" s="33" t="b">
        <f aca="false">IF(Dashboard!$D$25=Dashboard!$D$27,IF($B41=Dashboard!$D$25,IF(Dashboard!$D$26&lt;=Dashboard!$D$28,AND($D41="Away from KL",$C41&gt;=Dashboard!$D$26,$C41&lt;=Dashboard!$D$28),AND($D41="Towards KL",$C41&gt;=Dashboard!$D$28,$C41&lt;=Dashboard!$D$26)),FALSE()),OR(AND($B41=Dashboard!$D$25,$D41="Towards KL",$C41&lt;=Dashboard!$D$26),AND($B41=Dashboard!$D$27,$D41="Away from KL",$C41&lt;=Dashboard!$D$28)))</f>
        <v>1</v>
      </c>
    </row>
    <row r="42" customFormat="false" ht="15" hidden="false" customHeight="false" outlineLevel="0" collapsed="false">
      <c r="A42" s="31" t="s">
        <v>264</v>
      </c>
      <c r="B42" s="31" t="s">
        <v>84</v>
      </c>
      <c r="C42" s="32" t="n">
        <v>155</v>
      </c>
      <c r="D42" s="31" t="s">
        <v>200</v>
      </c>
      <c r="E42" s="31" t="s">
        <v>196</v>
      </c>
      <c r="F42" s="31" t="s">
        <v>197</v>
      </c>
      <c r="G42" s="31" t="s">
        <v>207</v>
      </c>
      <c r="H42" s="31" t="s">
        <v>222</v>
      </c>
      <c r="I42" s="33" t="b">
        <f aca="false">IF(Dashboard!$D$25=Dashboard!$D$27,IF($B42=Dashboard!$D$25,IF(Dashboard!$D$26&lt;=Dashboard!$D$28,AND($D42="Away from KL",$C42&gt;=Dashboard!$D$26,$C42&lt;=Dashboard!$D$28),AND($D42="Towards KL",$C42&gt;=Dashboard!$D$28,$C42&lt;=Dashboard!$D$26)),FALSE()),OR(AND($B42=Dashboard!$D$25,$D42="Towards KL",$C42&lt;=Dashboard!$D$26),AND($B42=Dashboard!$D$27,$D42="Away from KL",$C42&lt;=Dashboard!$D$28)))</f>
        <v>0</v>
      </c>
    </row>
    <row r="43" customFormat="false" ht="15" hidden="false" customHeight="false" outlineLevel="0" collapsed="false">
      <c r="A43" s="31" t="s">
        <v>265</v>
      </c>
      <c r="B43" s="31" t="s">
        <v>84</v>
      </c>
      <c r="C43" s="32" t="n">
        <v>200</v>
      </c>
      <c r="D43" s="31" t="s">
        <v>195</v>
      </c>
      <c r="E43" s="31" t="s">
        <v>201</v>
      </c>
      <c r="F43" s="31" t="s">
        <v>197</v>
      </c>
      <c r="G43" s="31" t="s">
        <v>210</v>
      </c>
      <c r="H43" s="31" t="s">
        <v>237</v>
      </c>
      <c r="I43" s="33" t="b">
        <f aca="false">IF(Dashboard!$D$25=Dashboard!$D$27,IF($B43=Dashboard!$D$25,IF(Dashboard!$D$26&lt;=Dashboard!$D$28,AND($D43="Away from KL",$C43&gt;=Dashboard!$D$26,$C43&lt;=Dashboard!$D$28),AND($D43="Towards KL",$C43&gt;=Dashboard!$D$28,$C43&lt;=Dashboard!$D$26)),FALSE()),OR(AND($B43=Dashboard!$D$25,$D43="Towards KL",$C43&lt;=Dashboard!$D$26),AND($B43=Dashboard!$D$27,$D43="Away from KL",$C43&lt;=Dashboard!$D$28)))</f>
        <v>1</v>
      </c>
    </row>
    <row r="44" customFormat="false" ht="15" hidden="false" customHeight="false" outlineLevel="0" collapsed="false">
      <c r="A44" s="31" t="s">
        <v>265</v>
      </c>
      <c r="B44" s="31" t="s">
        <v>84</v>
      </c>
      <c r="C44" s="32" t="n">
        <v>200</v>
      </c>
      <c r="D44" s="31" t="s">
        <v>200</v>
      </c>
      <c r="E44" s="31" t="s">
        <v>196</v>
      </c>
      <c r="F44" s="31" t="s">
        <v>197</v>
      </c>
      <c r="G44" s="31" t="s">
        <v>204</v>
      </c>
      <c r="H44" s="31" t="s">
        <v>216</v>
      </c>
      <c r="I44" s="33" t="b">
        <f aca="false">IF(Dashboard!$D$25=Dashboard!$D$27,IF($B44=Dashboard!$D$25,IF(Dashboard!$D$26&lt;=Dashboard!$D$28,AND($D44="Away from KL",$C44&gt;=Dashboard!$D$26,$C44&lt;=Dashboard!$D$28),AND($D44="Towards KL",$C44&gt;=Dashboard!$D$28,$C44&lt;=Dashboard!$D$26)),FALSE()),OR(AND($B44=Dashboard!$D$25,$D44="Towards KL",$C44&lt;=Dashboard!$D$26),AND($B44=Dashboard!$D$27,$D44="Away from KL",$C44&lt;=Dashboard!$D$28)))</f>
        <v>0</v>
      </c>
    </row>
    <row r="45" customFormat="false" ht="15" hidden="false" customHeight="false" outlineLevel="0" collapsed="false">
      <c r="A45" s="31" t="s">
        <v>266</v>
      </c>
      <c r="B45" s="31" t="s">
        <v>84</v>
      </c>
      <c r="C45" s="32" t="n">
        <v>225</v>
      </c>
      <c r="D45" s="31" t="s">
        <v>200</v>
      </c>
      <c r="E45" s="31" t="s">
        <v>196</v>
      </c>
      <c r="F45" s="31" t="s">
        <v>203</v>
      </c>
      <c r="G45" s="31" t="s">
        <v>207</v>
      </c>
      <c r="H45" s="31" t="s">
        <v>231</v>
      </c>
      <c r="I45" s="33" t="b">
        <f aca="false">IF(Dashboard!$D$25=Dashboard!$D$27,IF($B45=Dashboard!$D$25,IF(Dashboard!$D$26&lt;=Dashboard!$D$28,AND($D45="Away from KL",$C45&gt;=Dashboard!$D$26,$C45&lt;=Dashboard!$D$28),AND($D45="Towards KL",$C45&gt;=Dashboard!$D$28,$C45&lt;=Dashboard!$D$26)),FALSE()),OR(AND($B45=Dashboard!$D$25,$D45="Towards KL",$C45&lt;=Dashboard!$D$26),AND($B45=Dashboard!$D$27,$D45="Away from KL",$C45&lt;=Dashboard!$D$28)))</f>
        <v>0</v>
      </c>
    </row>
    <row r="46" customFormat="false" ht="15" hidden="false" customHeight="false" outlineLevel="0" collapsed="false">
      <c r="A46" s="31" t="s">
        <v>267</v>
      </c>
      <c r="B46" s="31" t="s">
        <v>84</v>
      </c>
      <c r="C46" s="32" t="n">
        <v>235</v>
      </c>
      <c r="D46" s="31" t="s">
        <v>195</v>
      </c>
      <c r="E46" s="31" t="s">
        <v>201</v>
      </c>
      <c r="F46" s="31" t="s">
        <v>203</v>
      </c>
      <c r="G46" s="31" t="s">
        <v>204</v>
      </c>
      <c r="H46" s="31" t="s">
        <v>253</v>
      </c>
      <c r="I46" s="33" t="b">
        <f aca="false">IF(Dashboard!$D$25=Dashboard!$D$27,IF($B46=Dashboard!$D$25,IF(Dashboard!$D$26&lt;=Dashboard!$D$28,AND($D46="Away from KL",$C46&gt;=Dashboard!$D$26,$C46&lt;=Dashboard!$D$28),AND($D46="Towards KL",$C46&gt;=Dashboard!$D$28,$C46&lt;=Dashboard!$D$26)),FALSE()),OR(AND($B46=Dashboard!$D$25,$D46="Towards KL",$C46&lt;=Dashboard!$D$26),AND($B46=Dashboard!$D$27,$D46="Away from KL",$C46&lt;=Dashboard!$D$28)))</f>
        <v>1</v>
      </c>
    </row>
    <row r="47" customFormat="false" ht="15" hidden="false" customHeight="false" outlineLevel="0" collapsed="false">
      <c r="A47" s="31" t="s">
        <v>268</v>
      </c>
      <c r="B47" s="31" t="s">
        <v>84</v>
      </c>
      <c r="C47" s="32" t="n">
        <v>250</v>
      </c>
      <c r="D47" s="31" t="s">
        <v>195</v>
      </c>
      <c r="E47" s="31" t="s">
        <v>201</v>
      </c>
      <c r="F47" s="31" t="s">
        <v>203</v>
      </c>
      <c r="G47" s="31" t="s">
        <v>210</v>
      </c>
      <c r="H47" s="31" t="s">
        <v>269</v>
      </c>
      <c r="I47" s="33" t="b">
        <f aca="false">IF(Dashboard!$D$25=Dashboard!$D$27,IF($B47=Dashboard!$D$25,IF(Dashboard!$D$26&lt;=Dashboard!$D$28,AND($D47="Away from KL",$C47&gt;=Dashboard!$D$26,$C47&lt;=Dashboard!$D$28),AND($D47="Towards KL",$C47&gt;=Dashboard!$D$28,$C47&lt;=Dashboard!$D$26)),FALSE()),OR(AND($B47=Dashboard!$D$25,$D47="Towards KL",$C47&lt;=Dashboard!$D$26),AND($B47=Dashboard!$D$27,$D47="Away from KL",$C47&lt;=Dashboard!$D$28)))</f>
        <v>1</v>
      </c>
    </row>
    <row r="48" customFormat="false" ht="15" hidden="false" customHeight="false" outlineLevel="0" collapsed="false">
      <c r="A48" s="31" t="s">
        <v>270</v>
      </c>
      <c r="B48" s="31" t="s">
        <v>84</v>
      </c>
      <c r="C48" s="32" t="n">
        <v>265</v>
      </c>
      <c r="D48" s="31" t="s">
        <v>200</v>
      </c>
      <c r="E48" s="31" t="s">
        <v>196</v>
      </c>
      <c r="F48" s="31" t="s">
        <v>197</v>
      </c>
      <c r="G48" s="31" t="s">
        <v>207</v>
      </c>
      <c r="H48" s="31" t="s">
        <v>271</v>
      </c>
      <c r="I48" s="33" t="b">
        <f aca="false">IF(Dashboard!$D$25=Dashboard!$D$27,IF($B48=Dashboard!$D$25,IF(Dashboard!$D$26&lt;=Dashboard!$D$28,AND($D48="Away from KL",$C48&gt;=Dashboard!$D$26,$C48&lt;=Dashboard!$D$28),AND($D48="Towards KL",$C48&gt;=Dashboard!$D$28,$C48&lt;=Dashboard!$D$26)),FALSE()),OR(AND($B48=Dashboard!$D$25,$D48="Towards KL",$C48&lt;=Dashboard!$D$26),AND($B48=Dashboard!$D$27,$D48="Away from KL",$C48&lt;=Dashboard!$D$28)))</f>
        <v>0</v>
      </c>
    </row>
    <row r="49" customFormat="false" ht="15" hidden="false" customHeight="false" outlineLevel="0" collapsed="false">
      <c r="A49" s="31" t="s">
        <v>270</v>
      </c>
      <c r="B49" s="31" t="s">
        <v>84</v>
      </c>
      <c r="C49" s="32" t="n">
        <v>265</v>
      </c>
      <c r="D49" s="31" t="s">
        <v>195</v>
      </c>
      <c r="E49" s="31" t="s">
        <v>201</v>
      </c>
      <c r="F49" s="31" t="s">
        <v>197</v>
      </c>
      <c r="G49" s="31" t="s">
        <v>210</v>
      </c>
      <c r="H49" s="31" t="s">
        <v>216</v>
      </c>
      <c r="I49" s="33" t="b">
        <f aca="false">IF(Dashboard!$D$25=Dashboard!$D$27,IF($B49=Dashboard!$D$25,IF(Dashboard!$D$26&lt;=Dashboard!$D$28,AND($D49="Away from KL",$C49&gt;=Dashboard!$D$26,$C49&lt;=Dashboard!$D$28),AND($D49="Towards KL",$C49&gt;=Dashboard!$D$28,$C49&lt;=Dashboard!$D$26)),FALSE()),OR(AND($B49=Dashboard!$D$25,$D49="Towards KL",$C49&lt;=Dashboard!$D$26),AND($B49=Dashboard!$D$27,$D49="Away from KL",$C49&lt;=Dashboard!$D$28)))</f>
        <v>1</v>
      </c>
    </row>
    <row r="50" customFormat="false" ht="15" hidden="false" customHeight="false" outlineLevel="0" collapsed="false">
      <c r="A50" s="31" t="s">
        <v>272</v>
      </c>
      <c r="B50" s="31" t="s">
        <v>84</v>
      </c>
      <c r="C50" s="32" t="n">
        <v>305</v>
      </c>
      <c r="D50" s="31" t="s">
        <v>200</v>
      </c>
      <c r="E50" s="31" t="s">
        <v>196</v>
      </c>
      <c r="F50" s="31" t="s">
        <v>203</v>
      </c>
      <c r="G50" s="31" t="s">
        <v>204</v>
      </c>
      <c r="H50" s="31" t="s">
        <v>231</v>
      </c>
      <c r="I50" s="33" t="b">
        <f aca="false">IF(Dashboard!$D$25=Dashboard!$D$27,IF($B50=Dashboard!$D$25,IF(Dashboard!$D$26&lt;=Dashboard!$D$28,AND($D50="Away from KL",$C50&gt;=Dashboard!$D$26,$C50&lt;=Dashboard!$D$28),AND($D50="Towards KL",$C50&gt;=Dashboard!$D$28,$C50&lt;=Dashboard!$D$26)),FALSE()),OR(AND($B50=Dashboard!$D$25,$D50="Towards KL",$C50&lt;=Dashboard!$D$26),AND($B50=Dashboard!$D$27,$D50="Away from KL",$C50&lt;=Dashboard!$D$28)))</f>
        <v>0</v>
      </c>
    </row>
    <row r="51" customFormat="false" ht="15" hidden="false" customHeight="false" outlineLevel="0" collapsed="false">
      <c r="A51" s="31" t="s">
        <v>273</v>
      </c>
      <c r="B51" s="31" t="s">
        <v>84</v>
      </c>
      <c r="C51" s="32" t="n">
        <v>320</v>
      </c>
      <c r="D51" s="31" t="s">
        <v>195</v>
      </c>
      <c r="E51" s="31" t="s">
        <v>201</v>
      </c>
      <c r="F51" s="31" t="s">
        <v>197</v>
      </c>
      <c r="G51" s="31" t="s">
        <v>198</v>
      </c>
      <c r="H51" s="31" t="s">
        <v>274</v>
      </c>
      <c r="I51" s="33" t="b">
        <f aca="false">IF(Dashboard!$D$25=Dashboard!$D$27,IF($B51=Dashboard!$D$25,IF(Dashboard!$D$26&lt;=Dashboard!$D$28,AND($D51="Away from KL",$C51&gt;=Dashboard!$D$26,$C51&lt;=Dashboard!$D$28),AND($D51="Towards KL",$C51&gt;=Dashboard!$D$28,$C51&lt;=Dashboard!$D$26)),FALSE()),OR(AND($B51=Dashboard!$D$25,$D51="Towards KL",$C51&lt;=Dashboard!$D$26),AND($B51=Dashboard!$D$27,$D51="Away from KL",$C51&lt;=Dashboard!$D$28)))</f>
        <v>1</v>
      </c>
    </row>
    <row r="52" customFormat="false" ht="15" hidden="false" customHeight="false" outlineLevel="0" collapsed="false">
      <c r="A52" s="31" t="s">
        <v>273</v>
      </c>
      <c r="B52" s="31" t="s">
        <v>84</v>
      </c>
      <c r="C52" s="32" t="n">
        <v>320</v>
      </c>
      <c r="D52" s="31" t="s">
        <v>200</v>
      </c>
      <c r="E52" s="31" t="s">
        <v>196</v>
      </c>
      <c r="F52" s="31" t="s">
        <v>197</v>
      </c>
      <c r="G52" s="31" t="s">
        <v>207</v>
      </c>
      <c r="H52" s="31" t="s">
        <v>275</v>
      </c>
      <c r="I52" s="33" t="b">
        <f aca="false">IF(Dashboard!$D$25=Dashboard!$D$27,IF($B52=Dashboard!$D$25,IF(Dashboard!$D$26&lt;=Dashboard!$D$28,AND($D52="Away from KL",$C52&gt;=Dashboard!$D$26,$C52&lt;=Dashboard!$D$28),AND($D52="Towards KL",$C52&gt;=Dashboard!$D$28,$C52&lt;=Dashboard!$D$26)),FALSE()),OR(AND($B52=Dashboard!$D$25,$D52="Towards KL",$C52&lt;=Dashboard!$D$26),AND($B52=Dashboard!$D$27,$D52="Away from KL",$C52&lt;=Dashboard!$D$28)))</f>
        <v>0</v>
      </c>
    </row>
    <row r="53" customFormat="false" ht="15" hidden="false" customHeight="false" outlineLevel="0" collapsed="false">
      <c r="A53" s="31" t="s">
        <v>276</v>
      </c>
      <c r="B53" s="31" t="s">
        <v>109</v>
      </c>
      <c r="C53" s="32" t="n">
        <v>60</v>
      </c>
      <c r="D53" s="31" t="s">
        <v>195</v>
      </c>
      <c r="E53" s="31" t="s">
        <v>277</v>
      </c>
      <c r="F53" s="31" t="s">
        <v>197</v>
      </c>
      <c r="G53" s="31" t="s">
        <v>210</v>
      </c>
      <c r="H53" s="31" t="s">
        <v>278</v>
      </c>
      <c r="I53" s="33" t="b">
        <f aca="false">IF(Dashboard!$D$25=Dashboard!$D$27,IF($B53=Dashboard!$D$25,IF(Dashboard!$D$26&lt;=Dashboard!$D$28,AND($D53="Away from KL",$C53&gt;=Dashboard!$D$26,$C53&lt;=Dashboard!$D$28),AND($D53="Towards KL",$C53&gt;=Dashboard!$D$28,$C53&lt;=Dashboard!$D$26)),FALSE()),OR(AND($B53=Dashboard!$D$25,$D53="Towards KL",$C53&lt;=Dashboard!$D$26),AND($B53=Dashboard!$D$27,$D53="Away from KL",$C53&lt;=Dashboard!$D$28)))</f>
        <v>0</v>
      </c>
    </row>
    <row r="54" customFormat="false" ht="15" hidden="false" customHeight="false" outlineLevel="0" collapsed="false">
      <c r="A54" s="31" t="s">
        <v>276</v>
      </c>
      <c r="B54" s="31" t="s">
        <v>109</v>
      </c>
      <c r="C54" s="32" t="n">
        <v>60</v>
      </c>
      <c r="D54" s="31" t="s">
        <v>200</v>
      </c>
      <c r="E54" s="31" t="s">
        <v>200</v>
      </c>
      <c r="F54" s="31" t="s">
        <v>197</v>
      </c>
      <c r="G54" s="31" t="s">
        <v>279</v>
      </c>
      <c r="H54" s="31" t="s">
        <v>280</v>
      </c>
      <c r="I54" s="33" t="b">
        <f aca="false">IF(Dashboard!$D$25=Dashboard!$D$27,IF($B54=Dashboard!$D$25,IF(Dashboard!$D$26&lt;=Dashboard!$D$28,AND($D54="Away from KL",$C54&gt;=Dashboard!$D$26,$C54&lt;=Dashboard!$D$28),AND($D54="Towards KL",$C54&gt;=Dashboard!$D$28,$C54&lt;=Dashboard!$D$26)),FALSE()),OR(AND($B54=Dashboard!$D$25,$D54="Towards KL",$C54&lt;=Dashboard!$D$26),AND($B54=Dashboard!$D$27,$D54="Away from KL",$C54&lt;=Dashboard!$D$28)))</f>
        <v>0</v>
      </c>
    </row>
    <row r="55" customFormat="false" ht="15" hidden="false" customHeight="false" outlineLevel="0" collapsed="false">
      <c r="A55" s="31" t="s">
        <v>281</v>
      </c>
      <c r="B55" s="31" t="s">
        <v>109</v>
      </c>
      <c r="C55" s="32" t="n">
        <v>85</v>
      </c>
      <c r="D55" s="31" t="s">
        <v>195</v>
      </c>
      <c r="E55" s="31" t="s">
        <v>277</v>
      </c>
      <c r="F55" s="31" t="s">
        <v>203</v>
      </c>
      <c r="G55" s="31" t="s">
        <v>204</v>
      </c>
      <c r="H55" s="31" t="s">
        <v>248</v>
      </c>
      <c r="I55" s="33" t="b">
        <f aca="false">IF(Dashboard!$D$25=Dashboard!$D$27,IF($B55=Dashboard!$D$25,IF(Dashboard!$D$26&lt;=Dashboard!$D$28,AND($D55="Away from KL",$C55&gt;=Dashboard!$D$26,$C55&lt;=Dashboard!$D$28),AND($D55="Towards KL",$C55&gt;=Dashboard!$D$28,$C55&lt;=Dashboard!$D$26)),FALSE()),OR(AND($B55=Dashboard!$D$25,$D55="Towards KL",$C55&lt;=Dashboard!$D$26),AND($B55=Dashboard!$D$27,$D55="Away from KL",$C55&lt;=Dashboard!$D$28)))</f>
        <v>0</v>
      </c>
    </row>
    <row r="56" customFormat="false" ht="15" hidden="false" customHeight="false" outlineLevel="0" collapsed="false">
      <c r="A56" s="31" t="s">
        <v>282</v>
      </c>
      <c r="B56" s="31" t="s">
        <v>109</v>
      </c>
      <c r="C56" s="32" t="n">
        <v>115</v>
      </c>
      <c r="D56" s="31" t="s">
        <v>195</v>
      </c>
      <c r="E56" s="31" t="s">
        <v>277</v>
      </c>
      <c r="F56" s="31" t="s">
        <v>197</v>
      </c>
      <c r="G56" s="31" t="s">
        <v>207</v>
      </c>
      <c r="H56" s="31" t="s">
        <v>233</v>
      </c>
      <c r="I56" s="33" t="b">
        <f aca="false">IF(Dashboard!$D$25=Dashboard!$D$27,IF($B56=Dashboard!$D$25,IF(Dashboard!$D$26&lt;=Dashboard!$D$28,AND($D56="Away from KL",$C56&gt;=Dashboard!$D$26,$C56&lt;=Dashboard!$D$28),AND($D56="Towards KL",$C56&gt;=Dashboard!$D$28,$C56&lt;=Dashboard!$D$26)),FALSE()),OR(AND($B56=Dashboard!$D$25,$D56="Towards KL",$C56&lt;=Dashboard!$D$26),AND($B56=Dashboard!$D$27,$D56="Away from KL",$C56&lt;=Dashboard!$D$28)))</f>
        <v>0</v>
      </c>
    </row>
    <row r="57" customFormat="false" ht="15" hidden="false" customHeight="false" outlineLevel="0" collapsed="false">
      <c r="A57" s="31" t="s">
        <v>282</v>
      </c>
      <c r="B57" s="31" t="s">
        <v>109</v>
      </c>
      <c r="C57" s="32" t="n">
        <v>115</v>
      </c>
      <c r="D57" s="31" t="s">
        <v>200</v>
      </c>
      <c r="E57" s="31" t="s">
        <v>200</v>
      </c>
      <c r="F57" s="31" t="s">
        <v>197</v>
      </c>
      <c r="G57" s="31" t="s">
        <v>210</v>
      </c>
      <c r="H57" s="31" t="s">
        <v>271</v>
      </c>
      <c r="I57" s="33" t="b">
        <f aca="false">IF(Dashboard!$D$25=Dashboard!$D$27,IF($B57=Dashboard!$D$25,IF(Dashboard!$D$26&lt;=Dashboard!$D$28,AND($D57="Away from KL",$C57&gt;=Dashboard!$D$26,$C57&lt;=Dashboard!$D$28),AND($D57="Towards KL",$C57&gt;=Dashboard!$D$28,$C57&lt;=Dashboard!$D$26)),FALSE()),OR(AND($B57=Dashboard!$D$25,$D57="Towards KL",$C57&lt;=Dashboard!$D$26),AND($B57=Dashboard!$D$27,$D57="Away from KL",$C57&lt;=Dashboard!$D$28)))</f>
        <v>0</v>
      </c>
    </row>
    <row r="58" customFormat="false" ht="15" hidden="false" customHeight="false" outlineLevel="0" collapsed="false">
      <c r="A58" s="31" t="s">
        <v>283</v>
      </c>
      <c r="B58" s="31" t="s">
        <v>109</v>
      </c>
      <c r="C58" s="32" t="n">
        <v>145</v>
      </c>
      <c r="D58" s="31" t="s">
        <v>195</v>
      </c>
      <c r="E58" s="31" t="s">
        <v>277</v>
      </c>
      <c r="F58" s="31" t="s">
        <v>203</v>
      </c>
      <c r="G58" s="31" t="s">
        <v>207</v>
      </c>
      <c r="H58" s="31" t="s">
        <v>231</v>
      </c>
      <c r="I58" s="33" t="b">
        <f aca="false">IF(Dashboard!$D$25=Dashboard!$D$27,IF($B58=Dashboard!$D$25,IF(Dashboard!$D$26&lt;=Dashboard!$D$28,AND($D58="Away from KL",$C58&gt;=Dashboard!$D$26,$C58&lt;=Dashboard!$D$28),AND($D58="Towards KL",$C58&gt;=Dashboard!$D$28,$C58&lt;=Dashboard!$D$26)),FALSE()),OR(AND($B58=Dashboard!$D$25,$D58="Towards KL",$C58&lt;=Dashboard!$D$26),AND($B58=Dashboard!$D$27,$D58="Away from KL",$C58&lt;=Dashboard!$D$28)))</f>
        <v>0</v>
      </c>
    </row>
    <row r="59" customFormat="false" ht="15" hidden="false" customHeight="false" outlineLevel="0" collapsed="false">
      <c r="A59" s="31" t="s">
        <v>284</v>
      </c>
      <c r="B59" s="31" t="s">
        <v>109</v>
      </c>
      <c r="C59" s="32" t="n">
        <v>170</v>
      </c>
      <c r="D59" s="31" t="s">
        <v>195</v>
      </c>
      <c r="E59" s="31" t="s">
        <v>277</v>
      </c>
      <c r="F59" s="31" t="s">
        <v>197</v>
      </c>
      <c r="G59" s="31" t="s">
        <v>210</v>
      </c>
      <c r="H59" s="31" t="s">
        <v>222</v>
      </c>
      <c r="I59" s="33" t="b">
        <f aca="false">IF(Dashboard!$D$25=Dashboard!$D$27,IF($B59=Dashboard!$D$25,IF(Dashboard!$D$26&lt;=Dashboard!$D$28,AND($D59="Away from KL",$C59&gt;=Dashboard!$D$26,$C59&lt;=Dashboard!$D$28),AND($D59="Towards KL",$C59&gt;=Dashboard!$D$28,$C59&lt;=Dashboard!$D$26)),FALSE()),OR(AND($B59=Dashboard!$D$25,$D59="Towards KL",$C59&lt;=Dashboard!$D$26),AND($B59=Dashboard!$D$27,$D59="Away from KL",$C59&lt;=Dashboard!$D$28)))</f>
        <v>0</v>
      </c>
    </row>
    <row r="60" customFormat="false" ht="15" hidden="false" customHeight="false" outlineLevel="0" collapsed="false">
      <c r="A60" s="31" t="s">
        <v>284</v>
      </c>
      <c r="B60" s="31" t="s">
        <v>109</v>
      </c>
      <c r="C60" s="32" t="n">
        <v>170</v>
      </c>
      <c r="D60" s="31" t="s">
        <v>200</v>
      </c>
      <c r="E60" s="31" t="s">
        <v>200</v>
      </c>
      <c r="F60" s="31" t="s">
        <v>197</v>
      </c>
      <c r="G60" s="31" t="s">
        <v>204</v>
      </c>
      <c r="H60" s="31" t="s">
        <v>222</v>
      </c>
      <c r="I60" s="33" t="b">
        <f aca="false">IF(Dashboard!$D$25=Dashboard!$D$27,IF($B60=Dashboard!$D$25,IF(Dashboard!$D$26&lt;=Dashboard!$D$28,AND($D60="Away from KL",$C60&gt;=Dashboard!$D$26,$C60&lt;=Dashboard!$D$28),AND($D60="Towards KL",$C60&gt;=Dashboard!$D$28,$C60&lt;=Dashboard!$D$26)),FALSE()),OR(AND($B60=Dashboard!$D$25,$D60="Towards KL",$C60&lt;=Dashboard!$D$26),AND($B60=Dashboard!$D$27,$D60="Away from KL",$C60&lt;=Dashboard!$D$28)))</f>
        <v>0</v>
      </c>
    </row>
    <row r="61" customFormat="false" ht="15" hidden="false" customHeight="false" outlineLevel="0" collapsed="false">
      <c r="A61" s="31" t="s">
        <v>285</v>
      </c>
      <c r="B61" s="31" t="s">
        <v>109</v>
      </c>
      <c r="C61" s="32" t="n">
        <v>215</v>
      </c>
      <c r="D61" s="31" t="s">
        <v>195</v>
      </c>
      <c r="E61" s="31" t="s">
        <v>277</v>
      </c>
      <c r="F61" s="31" t="s">
        <v>197</v>
      </c>
      <c r="G61" s="31" t="s">
        <v>198</v>
      </c>
      <c r="H61" s="31" t="s">
        <v>216</v>
      </c>
      <c r="I61" s="33" t="b">
        <f aca="false">IF(Dashboard!$D$25=Dashboard!$D$27,IF($B61=Dashboard!$D$25,IF(Dashboard!$D$26&lt;=Dashboard!$D$28,AND($D61="Away from KL",$C61&gt;=Dashboard!$D$26,$C61&lt;=Dashboard!$D$28),AND($D61="Towards KL",$C61&gt;=Dashboard!$D$28,$C61&lt;=Dashboard!$D$26)),FALSE()),OR(AND($B61=Dashboard!$D$25,$D61="Towards KL",$C61&lt;=Dashboard!$D$26),AND($B61=Dashboard!$D$27,$D61="Away from KL",$C61&lt;=Dashboard!$D$28)))</f>
        <v>0</v>
      </c>
    </row>
    <row r="62" customFormat="false" ht="15" hidden="false" customHeight="false" outlineLevel="0" collapsed="false">
      <c r="A62" s="31" t="s">
        <v>285</v>
      </c>
      <c r="B62" s="31" t="s">
        <v>109</v>
      </c>
      <c r="C62" s="32" t="n">
        <v>215</v>
      </c>
      <c r="D62" s="31" t="s">
        <v>200</v>
      </c>
      <c r="E62" s="31" t="s">
        <v>200</v>
      </c>
      <c r="F62" s="31" t="s">
        <v>197</v>
      </c>
      <c r="G62" s="31" t="s">
        <v>210</v>
      </c>
      <c r="H62" s="31" t="s">
        <v>271</v>
      </c>
      <c r="I62" s="33" t="b">
        <f aca="false">IF(Dashboard!$D$25=Dashboard!$D$27,IF($B62=Dashboard!$D$25,IF(Dashboard!$D$26&lt;=Dashboard!$D$28,AND($D62="Away from KL",$C62&gt;=Dashboard!$D$26,$C62&lt;=Dashboard!$D$28),AND($D62="Towards KL",$C62&gt;=Dashboard!$D$28,$C62&lt;=Dashboard!$D$26)),FALSE()),OR(AND($B62=Dashboard!$D$25,$D62="Towards KL",$C62&lt;=Dashboard!$D$26),AND($B62=Dashboard!$D$27,$D62="Away from KL",$C62&lt;=Dashboard!$D$28)))</f>
        <v>0</v>
      </c>
    </row>
    <row r="63" customFormat="false" ht="15" hidden="false" customHeight="false" outlineLevel="0" collapsed="false">
      <c r="A63" s="31" t="s">
        <v>286</v>
      </c>
      <c r="B63" s="31" t="s">
        <v>109</v>
      </c>
      <c r="C63" s="32" t="n">
        <v>305</v>
      </c>
      <c r="D63" s="31" t="s">
        <v>200</v>
      </c>
      <c r="E63" s="31" t="s">
        <v>200</v>
      </c>
      <c r="F63" s="31" t="s">
        <v>203</v>
      </c>
      <c r="G63" s="31" t="s">
        <v>207</v>
      </c>
      <c r="H63" s="31" t="s">
        <v>287</v>
      </c>
      <c r="I63" s="33" t="b">
        <f aca="false">IF(Dashboard!$D$25=Dashboard!$D$27,IF($B63=Dashboard!$D$25,IF(Dashboard!$D$26&lt;=Dashboard!$D$28,AND($D63="Away from KL",$C63&gt;=Dashboard!$D$26,$C63&lt;=Dashboard!$D$28),AND($D63="Towards KL",$C63&gt;=Dashboard!$D$28,$C63&lt;=Dashboard!$D$26)),FALSE()),OR(AND($B63=Dashboard!$D$25,$D63="Towards KL",$C63&lt;=Dashboard!$D$26),AND($B63=Dashboard!$D$27,$D63="Away from KL",$C63&lt;=Dashboard!$D$28)))</f>
        <v>0</v>
      </c>
    </row>
    <row r="64" customFormat="false" ht="15" hidden="false" customHeight="false" outlineLevel="0" collapsed="false">
      <c r="A64" s="31" t="s">
        <v>288</v>
      </c>
      <c r="B64" s="31" t="s">
        <v>109</v>
      </c>
      <c r="C64" s="32" t="n">
        <v>345</v>
      </c>
      <c r="D64" s="31" t="s">
        <v>195</v>
      </c>
      <c r="E64" s="31" t="s">
        <v>277</v>
      </c>
      <c r="F64" s="31" t="s">
        <v>197</v>
      </c>
      <c r="G64" s="31" t="s">
        <v>210</v>
      </c>
      <c r="H64" s="31" t="s">
        <v>289</v>
      </c>
      <c r="I64" s="33" t="b">
        <f aca="false">IF(Dashboard!$D$25=Dashboard!$D$27,IF($B64=Dashboard!$D$25,IF(Dashboard!$D$26&lt;=Dashboard!$D$28,AND($D64="Away from KL",$C64&gt;=Dashboard!$D$26,$C64&lt;=Dashboard!$D$28),AND($D64="Towards KL",$C64&gt;=Dashboard!$D$28,$C64&lt;=Dashboard!$D$26)),FALSE()),OR(AND($B64=Dashboard!$D$25,$D64="Towards KL",$C64&lt;=Dashboard!$D$26),AND($B64=Dashboard!$D$27,$D64="Away from KL",$C64&lt;=Dashboard!$D$28)))</f>
        <v>0</v>
      </c>
    </row>
    <row r="65" customFormat="false" ht="15" hidden="false" customHeight="false" outlineLevel="0" collapsed="false">
      <c r="A65" s="31" t="s">
        <v>288</v>
      </c>
      <c r="B65" s="31" t="s">
        <v>109</v>
      </c>
      <c r="C65" s="32" t="n">
        <v>345</v>
      </c>
      <c r="D65" s="31" t="s">
        <v>200</v>
      </c>
      <c r="E65" s="31" t="s">
        <v>200</v>
      </c>
      <c r="F65" s="31" t="s">
        <v>197</v>
      </c>
      <c r="G65" s="31" t="s">
        <v>207</v>
      </c>
      <c r="H65" s="31" t="s">
        <v>290</v>
      </c>
      <c r="I65" s="33" t="b">
        <f aca="false">IF(Dashboard!$D$25=Dashboard!$D$27,IF($B65=Dashboard!$D$25,IF(Dashboard!$D$26&lt;=Dashboard!$D$28,AND($D65="Away from KL",$C65&gt;=Dashboard!$D$26,$C65&lt;=Dashboard!$D$28),AND($D65="Towards KL",$C65&gt;=Dashboard!$D$28,$C65&lt;=Dashboard!$D$26)),FALSE()),OR(AND($B65=Dashboard!$D$25,$D65="Towards KL",$C65&lt;=Dashboard!$D$26),AND($B65=Dashboard!$D$27,$D65="Away from KL",$C65&lt;=Dashboard!$D$28)))</f>
        <v>0</v>
      </c>
    </row>
    <row r="66" customFormat="false" ht="15" hidden="false" customHeight="false" outlineLevel="0" collapsed="false">
      <c r="A66" s="31" t="s">
        <v>291</v>
      </c>
      <c r="B66" s="31" t="s">
        <v>109</v>
      </c>
      <c r="C66" s="32" t="n">
        <v>360</v>
      </c>
      <c r="D66" s="31" t="s">
        <v>200</v>
      </c>
      <c r="E66" s="31" t="s">
        <v>200</v>
      </c>
      <c r="F66" s="31" t="s">
        <v>203</v>
      </c>
      <c r="G66" s="31" t="s">
        <v>204</v>
      </c>
      <c r="H66" s="31" t="s">
        <v>231</v>
      </c>
      <c r="I66" s="33" t="b">
        <f aca="false">IF(Dashboard!$D$25=Dashboard!$D$27,IF($B66=Dashboard!$D$25,IF(Dashboard!$D$26&lt;=Dashboard!$D$28,AND($D66="Away from KL",$C66&gt;=Dashboard!$D$26,$C66&lt;=Dashboard!$D$28),AND($D66="Towards KL",$C66&gt;=Dashboard!$D$28,$C66&lt;=Dashboard!$D$26)),FALSE()),OR(AND($B66=Dashboard!$D$25,$D66="Towards KL",$C66&lt;=Dashboard!$D$26),AND($B66=Dashboard!$D$27,$D66="Away from KL",$C66&lt;=Dashboard!$D$28)))</f>
        <v>0</v>
      </c>
    </row>
    <row r="67" customFormat="false" ht="15" hidden="false" customHeight="false" outlineLevel="0" collapsed="false">
      <c r="A67" s="31" t="s">
        <v>292</v>
      </c>
      <c r="B67" s="31" t="s">
        <v>109</v>
      </c>
      <c r="C67" s="32" t="n">
        <v>380</v>
      </c>
      <c r="D67" s="31" t="s">
        <v>195</v>
      </c>
      <c r="E67" s="31" t="s">
        <v>277</v>
      </c>
      <c r="F67" s="31" t="s">
        <v>197</v>
      </c>
      <c r="G67" s="31" t="s">
        <v>207</v>
      </c>
      <c r="H67" s="31" t="s">
        <v>271</v>
      </c>
      <c r="I67" s="33" t="b">
        <f aca="false">IF(Dashboard!$D$25=Dashboard!$D$27,IF($B67=Dashboard!$D$25,IF(Dashboard!$D$26&lt;=Dashboard!$D$28,AND($D67="Away from KL",$C67&gt;=Dashboard!$D$26,$C67&lt;=Dashboard!$D$28),AND($D67="Towards KL",$C67&gt;=Dashboard!$D$28,$C67&lt;=Dashboard!$D$26)),FALSE()),OR(AND($B67=Dashboard!$D$25,$D67="Towards KL",$C67&lt;=Dashboard!$D$26),AND($B67=Dashboard!$D$27,$D67="Away from KL",$C67&lt;=Dashboard!$D$28)))</f>
        <v>0</v>
      </c>
    </row>
    <row r="68" customFormat="false" ht="15" hidden="false" customHeight="false" outlineLevel="0" collapsed="false">
      <c r="A68" s="31" t="s">
        <v>292</v>
      </c>
      <c r="B68" s="31" t="s">
        <v>109</v>
      </c>
      <c r="C68" s="32" t="n">
        <v>380</v>
      </c>
      <c r="D68" s="31" t="s">
        <v>200</v>
      </c>
      <c r="E68" s="31" t="s">
        <v>200</v>
      </c>
      <c r="F68" s="31" t="s">
        <v>197</v>
      </c>
      <c r="G68" s="31" t="s">
        <v>210</v>
      </c>
      <c r="H68" s="31" t="s">
        <v>290</v>
      </c>
      <c r="I68" s="33" t="b">
        <f aca="false">IF(Dashboard!$D$25=Dashboard!$D$27,IF($B68=Dashboard!$D$25,IF(Dashboard!$D$26&lt;=Dashboard!$D$28,AND($D68="Away from KL",$C68&gt;=Dashboard!$D$26,$C68&lt;=Dashboard!$D$28),AND($D68="Towards KL",$C68&gt;=Dashboard!$D$28,$C68&lt;=Dashboard!$D$26)),FALSE()),OR(AND($B68=Dashboard!$D$25,$D68="Towards KL",$C68&lt;=Dashboard!$D$26),AND($B68=Dashboard!$D$27,$D68="Away from KL",$C68&lt;=Dashboard!$D$28)))</f>
        <v>0</v>
      </c>
    </row>
    <row r="69" customFormat="false" ht="15" hidden="false" customHeight="false" outlineLevel="0" collapsed="false">
      <c r="A69" s="31" t="s">
        <v>293</v>
      </c>
      <c r="B69" s="31" t="s">
        <v>109</v>
      </c>
      <c r="C69" s="32" t="n">
        <v>430</v>
      </c>
      <c r="D69" s="31" t="s">
        <v>200</v>
      </c>
      <c r="E69" s="31" t="s">
        <v>200</v>
      </c>
      <c r="F69" s="31" t="s">
        <v>203</v>
      </c>
      <c r="G69" s="31" t="s">
        <v>204</v>
      </c>
      <c r="H69" s="31" t="s">
        <v>248</v>
      </c>
      <c r="I69" s="33" t="b">
        <f aca="false">IF(Dashboard!$D$25=Dashboard!$D$27,IF($B69=Dashboard!$D$25,IF(Dashboard!$D$26&lt;=Dashboard!$D$28,AND($D69="Away from KL",$C69&gt;=Dashboard!$D$26,$C69&lt;=Dashboard!$D$28),AND($D69="Towards KL",$C69&gt;=Dashboard!$D$28,$C69&lt;=Dashboard!$D$26)),FALSE()),OR(AND($B69=Dashboard!$D$25,$D69="Towards KL",$C69&lt;=Dashboard!$D$26),AND($B69=Dashboard!$D$27,$D69="Away from KL",$C69&lt;=Dashboard!$D$28)))</f>
        <v>0</v>
      </c>
    </row>
    <row r="71" customFormat="false" ht="60" hidden="false" customHeight="true" outlineLevel="0" collapsed="false">
      <c r="A71" s="34" t="s">
        <v>294</v>
      </c>
      <c r="B71" s="34"/>
      <c r="C71" s="34"/>
      <c r="D71" s="34"/>
      <c r="E71" s="34"/>
      <c r="F71" s="34"/>
      <c r="G71" s="34"/>
      <c r="H71" s="34"/>
      <c r="I71" s="34"/>
    </row>
  </sheetData>
  <autoFilter ref="A1:I69"/>
  <mergeCells count="1">
    <mergeCell ref="A71:I71"/>
  </mergeCells>
  <conditionalFormatting sqref="A2:I69">
    <cfRule type="expression" priority="2" aboveAverage="0" equalAverage="0" bottom="0" percent="0" rank="0" text="" dxfId="3">
      <formula>$I2=1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2026-09-09T08:29:38Z</dcterms:created>
  <dc:creator>openpyxl</dc:creator>
  <dc:description/>
  <dc:language>en-US</dc:language>
  <cp:lastModifiedBy/>
  <dcterms:modified xsi:type="dcterms:W3CDTF">2026-09-11T01:00:20Z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